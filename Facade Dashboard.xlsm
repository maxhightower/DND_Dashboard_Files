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xml" ContentType="application/vnd.openxmlformats-officedocument.drawing+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queryTables/queryTable1.xml" ContentType="application/vnd.openxmlformats-officedocument.spreadsheetml.queryTable+xml"/>
  <Override PartName="/xl/tables/table115.xml" ContentType="application/vnd.openxmlformats-officedocument.spreadsheetml.table+xml"/>
  <Override PartName="/xl/tables/table1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axhi\OneDrive\Desktop\"/>
    </mc:Choice>
  </mc:AlternateContent>
  <xr:revisionPtr revIDLastSave="0" documentId="13_ncr:1_{DA189468-D922-4C86-A76D-99F69E6F465F}" xr6:coauthVersionLast="47" xr6:coauthVersionMax="47" xr10:uidLastSave="{00000000-0000-0000-0000-000000000000}"/>
  <bookViews>
    <workbookView xWindow="-110" yWindow="-110" windowWidth="25180" windowHeight="16860" tabRatio="859" activeTab="1" xr2:uid="{E2E323C2-055E-4698-9E77-2CF17BFFD4AB}"/>
  </bookViews>
  <sheets>
    <sheet name="Rules of the Game" sheetId="4" r:id="rId1"/>
    <sheet name="Dim Dashboard" sheetId="17" r:id="rId2"/>
    <sheet name="Facade Dashboard" sheetId="6" r:id="rId3"/>
    <sheet name="Dim" sheetId="19" r:id="rId4"/>
    <sheet name="Facade" sheetId="1" r:id="rId5"/>
    <sheet name="Ki-rin" sheetId="5" r:id="rId6"/>
    <sheet name="Archdruid" sheetId="7" r:id="rId7"/>
    <sheet name="Vampire Spectator" sheetId="8" r:id="rId8"/>
    <sheet name="Drow Arachnomancer" sheetId="9" r:id="rId9"/>
    <sheet name="Gloomweaver" sheetId="10" r:id="rId10"/>
    <sheet name="Conclave Dryad" sheetId="11" r:id="rId11"/>
    <sheet name="Neothelid" sheetId="12" r:id="rId12"/>
    <sheet name="Oni Nothic" sheetId="13" r:id="rId13"/>
    <sheet name="Ghost (CR 16)" sheetId="14" r:id="rId14"/>
    <sheet name="Gallows Speaker" sheetId="15" r:id="rId15"/>
    <sheet name="Rakshasa" sheetId="16" r:id="rId16"/>
    <sheet name="Glyph Creation" sheetId="3" r:id="rId17"/>
  </sheets>
  <definedNames>
    <definedName name="Armor" localSheetId="3">Table12[]</definedName>
    <definedName name="Armor" localSheetId="1">Table12[]</definedName>
    <definedName name="Armor">Table12[]</definedName>
    <definedName name="ExternalData_1" localSheetId="16" hidden="1">'Glyph Creation'!$A$1:$D$34</definedName>
    <definedName name="Skill" localSheetId="3">Table10[]</definedName>
    <definedName name="Skill" localSheetId="1">Table10[]</definedName>
    <definedName name="Skill">Table10[]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124" i="4" l="1"/>
  <c r="AL124" i="4"/>
  <c r="X123" i="4"/>
  <c r="AL123" i="4"/>
  <c r="F19" i="19"/>
  <c r="X122" i="4"/>
  <c r="AL122" i="4"/>
  <c r="E5" i="17"/>
  <c r="D6" i="17"/>
  <c r="K4" i="17"/>
  <c r="D5" i="17"/>
  <c r="D4" i="17"/>
  <c r="X121" i="4"/>
  <c r="AL121" i="4"/>
  <c r="X120" i="4"/>
  <c r="AL120" i="4"/>
  <c r="K27" i="19"/>
  <c r="H27" i="19"/>
  <c r="M68" i="19"/>
  <c r="L68" i="19"/>
  <c r="K68" i="19"/>
  <c r="J68" i="19"/>
  <c r="I68" i="19"/>
  <c r="H68" i="19"/>
  <c r="J53" i="19"/>
  <c r="J52" i="19"/>
  <c r="J51" i="19"/>
  <c r="J50" i="19"/>
  <c r="J49" i="19"/>
  <c r="J48" i="19"/>
  <c r="J47" i="19"/>
  <c r="J46" i="19"/>
  <c r="G42" i="19"/>
  <c r="G41" i="19"/>
  <c r="G40" i="19"/>
  <c r="G39" i="19"/>
  <c r="G38" i="19"/>
  <c r="G37" i="19"/>
  <c r="K35" i="19"/>
  <c r="J42" i="19" s="1"/>
  <c r="K32" i="19"/>
  <c r="J32" i="19"/>
  <c r="I32" i="19"/>
  <c r="H32" i="19"/>
  <c r="K29" i="19"/>
  <c r="L29" i="19" s="1"/>
  <c r="C19" i="19"/>
  <c r="F17" i="19"/>
  <c r="C7" i="19"/>
  <c r="C24" i="19" s="1"/>
  <c r="E6" i="19"/>
  <c r="C6" i="19"/>
  <c r="C17" i="19" s="1"/>
  <c r="C5" i="19"/>
  <c r="C4" i="19"/>
  <c r="D32" i="19" s="1"/>
  <c r="C3" i="19"/>
  <c r="C27" i="19" s="1"/>
  <c r="E2" i="19"/>
  <c r="C2" i="19"/>
  <c r="L27" i="19" s="1"/>
  <c r="P96" i="17"/>
  <c r="Q96" i="17" s="1"/>
  <c r="P95" i="17"/>
  <c r="Q95" i="17" s="1"/>
  <c r="P94" i="17"/>
  <c r="Q94" i="17" s="1"/>
  <c r="H38" i="19" l="1"/>
  <c r="J40" i="19"/>
  <c r="L42" i="19"/>
  <c r="L32" i="19"/>
  <c r="K42" i="19" s="1"/>
  <c r="E7" i="19"/>
  <c r="E5" i="19"/>
  <c r="E3" i="19"/>
  <c r="H31" i="19"/>
  <c r="C11" i="19"/>
  <c r="H30" i="19"/>
  <c r="K30" i="19"/>
  <c r="L30" i="19" s="1"/>
  <c r="F12" i="19"/>
  <c r="K28" i="19"/>
  <c r="L28" i="19" s="1"/>
  <c r="M40" i="19"/>
  <c r="K40" i="19"/>
  <c r="I38" i="19"/>
  <c r="C18" i="19"/>
  <c r="C28" i="19"/>
  <c r="M42" i="19"/>
  <c r="E4" i="19"/>
  <c r="H28" i="19"/>
  <c r="J38" i="19"/>
  <c r="K38" i="19" s="1"/>
  <c r="L40" i="19"/>
  <c r="D33" i="19"/>
  <c r="L38" i="19"/>
  <c r="M38" i="19" s="1"/>
  <c r="H41" i="19"/>
  <c r="I41" i="19" s="1"/>
  <c r="H39" i="19"/>
  <c r="I39" i="19" s="1"/>
  <c r="J41" i="19"/>
  <c r="K41" i="19" s="1"/>
  <c r="J39" i="19"/>
  <c r="K39" i="19" s="1"/>
  <c r="L41" i="19"/>
  <c r="C23" i="19"/>
  <c r="H37" i="19"/>
  <c r="I37" i="19" s="1"/>
  <c r="C25" i="19"/>
  <c r="C13" i="19"/>
  <c r="J37" i="19"/>
  <c r="K37" i="19" s="1"/>
  <c r="L39" i="19"/>
  <c r="C14" i="19"/>
  <c r="C26" i="19"/>
  <c r="K31" i="19"/>
  <c r="L31" i="19" s="1"/>
  <c r="M39" i="19"/>
  <c r="H42" i="19"/>
  <c r="I42" i="19" s="1"/>
  <c r="C15" i="19"/>
  <c r="L37" i="19"/>
  <c r="M37" i="19" s="1"/>
  <c r="C20" i="19"/>
  <c r="H29" i="19"/>
  <c r="D34" i="19"/>
  <c r="C21" i="19"/>
  <c r="C22" i="19"/>
  <c r="F21" i="19" s="1"/>
  <c r="C12" i="19"/>
  <c r="C16" i="19"/>
  <c r="H40" i="19"/>
  <c r="I40" i="19" s="1"/>
  <c r="P93" i="17"/>
  <c r="Q93" i="17" s="1"/>
  <c r="P92" i="17"/>
  <c r="Q92" i="17" s="1"/>
  <c r="P91" i="17"/>
  <c r="Q91" i="17" s="1"/>
  <c r="P90" i="17"/>
  <c r="Q90" i="17" s="1"/>
  <c r="P89" i="17"/>
  <c r="Q89" i="17" s="1"/>
  <c r="P88" i="17"/>
  <c r="Q88" i="17" s="1"/>
  <c r="P87" i="17"/>
  <c r="Q87" i="17" s="1"/>
  <c r="P86" i="17"/>
  <c r="Q86" i="17" s="1"/>
  <c r="P85" i="17"/>
  <c r="Q85" i="17" s="1"/>
  <c r="P84" i="17"/>
  <c r="Q84" i="17" s="1"/>
  <c r="P83" i="17"/>
  <c r="Q83" i="17" s="1"/>
  <c r="P82" i="17"/>
  <c r="Q82" i="17" s="1"/>
  <c r="E6" i="17" s="1"/>
  <c r="P81" i="17"/>
  <c r="Q81" i="17" s="1"/>
  <c r="P80" i="17"/>
  <c r="Q80" i="17" s="1"/>
  <c r="E4" i="17" s="1"/>
  <c r="L76" i="17"/>
  <c r="K76" i="17"/>
  <c r="J76" i="17"/>
  <c r="I76" i="17"/>
  <c r="H76" i="17"/>
  <c r="G76" i="17"/>
  <c r="L75" i="17"/>
  <c r="K75" i="17"/>
  <c r="J75" i="17"/>
  <c r="I75" i="17"/>
  <c r="H75" i="17"/>
  <c r="G75" i="17"/>
  <c r="L74" i="17"/>
  <c r="K74" i="17"/>
  <c r="J74" i="17"/>
  <c r="I74" i="17"/>
  <c r="H74" i="17"/>
  <c r="G74" i="17"/>
  <c r="L73" i="17"/>
  <c r="K73" i="17"/>
  <c r="J73" i="17"/>
  <c r="I73" i="17"/>
  <c r="H73" i="17"/>
  <c r="G73" i="17"/>
  <c r="L72" i="17"/>
  <c r="K72" i="17"/>
  <c r="J72" i="17"/>
  <c r="I72" i="17"/>
  <c r="H72" i="17"/>
  <c r="G72" i="17"/>
  <c r="L71" i="17"/>
  <c r="K71" i="17"/>
  <c r="J71" i="17"/>
  <c r="I71" i="17"/>
  <c r="H71" i="17"/>
  <c r="G71" i="17"/>
  <c r="L70" i="17"/>
  <c r="K70" i="17"/>
  <c r="J70" i="17"/>
  <c r="I70" i="17"/>
  <c r="H70" i="17"/>
  <c r="G70" i="17"/>
  <c r="L69" i="17"/>
  <c r="K69" i="17"/>
  <c r="J69" i="17"/>
  <c r="I69" i="17"/>
  <c r="H69" i="17"/>
  <c r="G69" i="17"/>
  <c r="L68" i="17"/>
  <c r="K68" i="17"/>
  <c r="J68" i="17"/>
  <c r="I68" i="17"/>
  <c r="H68" i="17"/>
  <c r="G68" i="17"/>
  <c r="L67" i="17"/>
  <c r="K67" i="17"/>
  <c r="J67" i="17"/>
  <c r="I67" i="17"/>
  <c r="H67" i="17"/>
  <c r="G67" i="17"/>
  <c r="C67" i="17"/>
  <c r="B67" i="17"/>
  <c r="L66" i="17"/>
  <c r="K66" i="17"/>
  <c r="J66" i="17"/>
  <c r="I66" i="17"/>
  <c r="K5" i="17" s="1"/>
  <c r="H66" i="17"/>
  <c r="G66" i="17"/>
  <c r="C66" i="17"/>
  <c r="B66" i="17"/>
  <c r="L65" i="17"/>
  <c r="K65" i="17"/>
  <c r="J65" i="17"/>
  <c r="I65" i="17"/>
  <c r="H65" i="17"/>
  <c r="G65" i="17"/>
  <c r="C65" i="17"/>
  <c r="B65" i="17"/>
  <c r="N58" i="17"/>
  <c r="L58" i="17"/>
  <c r="O58" i="17" s="1"/>
  <c r="L57" i="17"/>
  <c r="O57" i="17" s="1"/>
  <c r="L56" i="17"/>
  <c r="O56" i="17" s="1"/>
  <c r="L55" i="17"/>
  <c r="O55" i="17" s="1"/>
  <c r="L54" i="17"/>
  <c r="O54" i="17" s="1"/>
  <c r="L53" i="17"/>
  <c r="L52" i="17"/>
  <c r="O52" i="17" s="1"/>
  <c r="L51" i="17"/>
  <c r="O51" i="17" s="1"/>
  <c r="L50" i="17"/>
  <c r="O50" i="17" s="1"/>
  <c r="L48" i="17"/>
  <c r="L47" i="17"/>
  <c r="L46" i="17"/>
  <c r="N46" i="17" s="1"/>
  <c r="L45" i="17"/>
  <c r="L44" i="17"/>
  <c r="C23" i="17"/>
  <c r="C22" i="17"/>
  <c r="D20" i="17"/>
  <c r="C20" i="17"/>
  <c r="X16" i="17"/>
  <c r="Y16" i="17" s="1"/>
  <c r="X15" i="17"/>
  <c r="U15" i="17"/>
  <c r="X14" i="17"/>
  <c r="U14" i="17"/>
  <c r="X13" i="17"/>
  <c r="U13" i="17"/>
  <c r="X12" i="17"/>
  <c r="U12" i="17"/>
  <c r="X11" i="17"/>
  <c r="U11" i="17"/>
  <c r="X10" i="17"/>
  <c r="U10" i="17"/>
  <c r="X9" i="17"/>
  <c r="U9" i="17"/>
  <c r="X8" i="17"/>
  <c r="U8" i="17"/>
  <c r="X7" i="17"/>
  <c r="U7" i="17"/>
  <c r="X6" i="17"/>
  <c r="U6" i="17"/>
  <c r="K6" i="17"/>
  <c r="B6" i="17"/>
  <c r="X5" i="17"/>
  <c r="U5" i="17"/>
  <c r="B5" i="17"/>
  <c r="X4" i="17"/>
  <c r="Y4" i="17" s="1"/>
  <c r="U4" i="17"/>
  <c r="B4" i="17"/>
  <c r="J53" i="1"/>
  <c r="M68" i="1"/>
  <c r="L68" i="1"/>
  <c r="K68" i="1"/>
  <c r="J68" i="1"/>
  <c r="I68" i="1"/>
  <c r="H68" i="1"/>
  <c r="K37" i="16"/>
  <c r="I49" i="15"/>
  <c r="I48" i="14"/>
  <c r="K45" i="13"/>
  <c r="K43" i="12"/>
  <c r="I45" i="11"/>
  <c r="I43" i="10"/>
  <c r="I50" i="9"/>
  <c r="K54" i="8"/>
  <c r="K64" i="7"/>
  <c r="K56" i="5"/>
  <c r="J52" i="1"/>
  <c r="K36" i="16"/>
  <c r="I48" i="15"/>
  <c r="I47" i="14"/>
  <c r="K44" i="13"/>
  <c r="K42" i="12"/>
  <c r="I44" i="11"/>
  <c r="I42" i="10"/>
  <c r="I49" i="9"/>
  <c r="K53" i="8"/>
  <c r="K63" i="7"/>
  <c r="K55" i="5"/>
  <c r="J51" i="1"/>
  <c r="AR100" i="4"/>
  <c r="BF100" i="4"/>
  <c r="AR99" i="4"/>
  <c r="BF99" i="4"/>
  <c r="AR101" i="4"/>
  <c r="BF101" i="4"/>
  <c r="AR91" i="4"/>
  <c r="BF91" i="4"/>
  <c r="AR90" i="4"/>
  <c r="BF90" i="4"/>
  <c r="AR92" i="4"/>
  <c r="BF92" i="4"/>
  <c r="AR87" i="4"/>
  <c r="BF87" i="4"/>
  <c r="AR88" i="4"/>
  <c r="BF88" i="4"/>
  <c r="AR86" i="4"/>
  <c r="BF86" i="4"/>
  <c r="AR84" i="4"/>
  <c r="BF84" i="4"/>
  <c r="AR83" i="4"/>
  <c r="BF83" i="4"/>
  <c r="AR82" i="4"/>
  <c r="BF82" i="4"/>
  <c r="AR80" i="4"/>
  <c r="BF80" i="4"/>
  <c r="AR79" i="4"/>
  <c r="BF79" i="4"/>
  <c r="AR78" i="4"/>
  <c r="BF78" i="4"/>
  <c r="AR77" i="4"/>
  <c r="BF77" i="4"/>
  <c r="AR76" i="4"/>
  <c r="BF76" i="4"/>
  <c r="AR75" i="4"/>
  <c r="BF75" i="4"/>
  <c r="AR74" i="4"/>
  <c r="BF74" i="4"/>
  <c r="AR72" i="4"/>
  <c r="BF72" i="4"/>
  <c r="AR71" i="4"/>
  <c r="BF71" i="4"/>
  <c r="AR70" i="4"/>
  <c r="BF70" i="4"/>
  <c r="AR69" i="4"/>
  <c r="BF69" i="4"/>
  <c r="AR66" i="4"/>
  <c r="BF66" i="4"/>
  <c r="AR65" i="4"/>
  <c r="BF65" i="4"/>
  <c r="AR67" i="4"/>
  <c r="BF67" i="4"/>
  <c r="AR64" i="4"/>
  <c r="BF64" i="4"/>
  <c r="AR63" i="4"/>
  <c r="BF63" i="4"/>
  <c r="AR61" i="4"/>
  <c r="BF61" i="4"/>
  <c r="BF59" i="4"/>
  <c r="BF60" i="4"/>
  <c r="BF62" i="4"/>
  <c r="BF68" i="4"/>
  <c r="BF73" i="4"/>
  <c r="BF81" i="4"/>
  <c r="BF85" i="4"/>
  <c r="BF89" i="4"/>
  <c r="BF93" i="4"/>
  <c r="BF94" i="4"/>
  <c r="BF95" i="4"/>
  <c r="BF96" i="4"/>
  <c r="BF97" i="4"/>
  <c r="BF98" i="4"/>
  <c r="BF102" i="4"/>
  <c r="BF103" i="4"/>
  <c r="BF104" i="4"/>
  <c r="BF105" i="4"/>
  <c r="BF106" i="4"/>
  <c r="BF107" i="4"/>
  <c r="BF108" i="4"/>
  <c r="BF109" i="4"/>
  <c r="BF110" i="4"/>
  <c r="BF111" i="4"/>
  <c r="BF112" i="4"/>
  <c r="BF113" i="4"/>
  <c r="BF114" i="4"/>
  <c r="BF115" i="4"/>
  <c r="BF116" i="4"/>
  <c r="BF117" i="4"/>
  <c r="BF118" i="4"/>
  <c r="BF58" i="4"/>
  <c r="AR60" i="4"/>
  <c r="AR59" i="4"/>
  <c r="AR58" i="4"/>
  <c r="AR62" i="4"/>
  <c r="AR68" i="4"/>
  <c r="AR73" i="4"/>
  <c r="AR81" i="4"/>
  <c r="AR85" i="4"/>
  <c r="AR89" i="4"/>
  <c r="AR93" i="4"/>
  <c r="AR94" i="4"/>
  <c r="AR95" i="4"/>
  <c r="AR96" i="4"/>
  <c r="AR97" i="4"/>
  <c r="AR98" i="4"/>
  <c r="AR102" i="4"/>
  <c r="AR103" i="4"/>
  <c r="AR104" i="4"/>
  <c r="AR105" i="4"/>
  <c r="AR106" i="4"/>
  <c r="AR107" i="4"/>
  <c r="AR108" i="4"/>
  <c r="AR109" i="4"/>
  <c r="AR110" i="4"/>
  <c r="AR111" i="4"/>
  <c r="AR112" i="4"/>
  <c r="AR113" i="4"/>
  <c r="AR114" i="4"/>
  <c r="AR115" i="4"/>
  <c r="AR116" i="4"/>
  <c r="AR117" i="4"/>
  <c r="AR118" i="4"/>
  <c r="C65" i="6"/>
  <c r="C66" i="6"/>
  <c r="C67" i="6"/>
  <c r="B65" i="6"/>
  <c r="B66" i="6"/>
  <c r="B67" i="6"/>
  <c r="K35" i="16"/>
  <c r="K34" i="16"/>
  <c r="K33" i="16"/>
  <c r="K32" i="16"/>
  <c r="K31" i="16"/>
  <c r="I47" i="15"/>
  <c r="I46" i="15"/>
  <c r="I45" i="15"/>
  <c r="I44" i="15"/>
  <c r="I43" i="15"/>
  <c r="I46" i="14"/>
  <c r="I45" i="14"/>
  <c r="I44" i="14"/>
  <c r="I43" i="14"/>
  <c r="I42" i="14"/>
  <c r="K43" i="13"/>
  <c r="K42" i="13"/>
  <c r="K41" i="13"/>
  <c r="K40" i="13"/>
  <c r="K39" i="13"/>
  <c r="K41" i="12"/>
  <c r="K40" i="12"/>
  <c r="K39" i="12"/>
  <c r="K38" i="12"/>
  <c r="K37" i="12"/>
  <c r="I43" i="11"/>
  <c r="I42" i="11"/>
  <c r="I41" i="11"/>
  <c r="I40" i="11"/>
  <c r="I39" i="11"/>
  <c r="I41" i="10"/>
  <c r="I40" i="10"/>
  <c r="I39" i="10"/>
  <c r="I38" i="10"/>
  <c r="I37" i="10"/>
  <c r="I48" i="9"/>
  <c r="I47" i="9"/>
  <c r="I46" i="9"/>
  <c r="I45" i="9"/>
  <c r="I44" i="9"/>
  <c r="K52" i="8"/>
  <c r="K51" i="8"/>
  <c r="K50" i="8"/>
  <c r="K49" i="8"/>
  <c r="K48" i="8"/>
  <c r="K62" i="7"/>
  <c r="K61" i="7"/>
  <c r="K60" i="7"/>
  <c r="K59" i="7"/>
  <c r="K58" i="7"/>
  <c r="J50" i="1"/>
  <c r="J49" i="1"/>
  <c r="J48" i="1"/>
  <c r="J47" i="1"/>
  <c r="J46" i="1"/>
  <c r="K54" i="5"/>
  <c r="K50" i="5"/>
  <c r="K51" i="5"/>
  <c r="K52" i="5"/>
  <c r="K53" i="5"/>
  <c r="D33" i="15"/>
  <c r="D34" i="15"/>
  <c r="D35" i="15"/>
  <c r="D32" i="15"/>
  <c r="D33" i="7"/>
  <c r="D34" i="7"/>
  <c r="D35" i="7"/>
  <c r="D32" i="7"/>
  <c r="X119" i="4"/>
  <c r="AL119" i="4"/>
  <c r="X109" i="4"/>
  <c r="AL109" i="4"/>
  <c r="X105" i="4"/>
  <c r="AL105" i="4"/>
  <c r="X101" i="4"/>
  <c r="AL101" i="4"/>
  <c r="X98" i="4"/>
  <c r="AL98" i="4"/>
  <c r="X96" i="4"/>
  <c r="AL96" i="4"/>
  <c r="X85" i="4"/>
  <c r="AL85" i="4"/>
  <c r="X81" i="4"/>
  <c r="AL81" i="4"/>
  <c r="X64" i="4"/>
  <c r="AL64" i="4"/>
  <c r="X91" i="4"/>
  <c r="AL91" i="4"/>
  <c r="X112" i="4"/>
  <c r="AL112" i="4"/>
  <c r="V43" i="8"/>
  <c r="V42" i="8"/>
  <c r="V41" i="8"/>
  <c r="AK43" i="4"/>
  <c r="X14" i="6" s="1"/>
  <c r="AK42" i="4"/>
  <c r="X15" i="6" s="1"/>
  <c r="AF27" i="4"/>
  <c r="AG27" i="4"/>
  <c r="AH27" i="4"/>
  <c r="AI27" i="4"/>
  <c r="AJ27" i="4"/>
  <c r="AE27" i="4"/>
  <c r="AE22" i="4"/>
  <c r="AF22" i="4"/>
  <c r="AG22" i="4"/>
  <c r="AH22" i="4"/>
  <c r="AI22" i="4"/>
  <c r="AJ22" i="4"/>
  <c r="AE20" i="4"/>
  <c r="AF20" i="4"/>
  <c r="AG20" i="4"/>
  <c r="AH20" i="4"/>
  <c r="AE21" i="4"/>
  <c r="AF21" i="4"/>
  <c r="AG21" i="4"/>
  <c r="AH21" i="4"/>
  <c r="AE19" i="4"/>
  <c r="AF19" i="4"/>
  <c r="AG19" i="4"/>
  <c r="AH19" i="4"/>
  <c r="AI19" i="4"/>
  <c r="AJ19" i="4"/>
  <c r="AE18" i="4"/>
  <c r="AF18" i="4"/>
  <c r="AG18" i="4"/>
  <c r="AH18" i="4"/>
  <c r="AI18" i="4"/>
  <c r="AJ18" i="4"/>
  <c r="AE17" i="4"/>
  <c r="AF17" i="4"/>
  <c r="AG17" i="4"/>
  <c r="AH17" i="4"/>
  <c r="AI17" i="4"/>
  <c r="AJ17" i="4"/>
  <c r="X16" i="6"/>
  <c r="Y16" i="6" s="1"/>
  <c r="AE16" i="4"/>
  <c r="AF16" i="4"/>
  <c r="AG16" i="4"/>
  <c r="AH16" i="4"/>
  <c r="AI16" i="4"/>
  <c r="AJ16" i="4"/>
  <c r="AG15" i="4"/>
  <c r="AF15" i="4"/>
  <c r="AE15" i="4"/>
  <c r="X4" i="6"/>
  <c r="Y4" i="6" s="1"/>
  <c r="X5" i="6"/>
  <c r="X6" i="6"/>
  <c r="X7" i="6"/>
  <c r="X8" i="6"/>
  <c r="X9" i="6"/>
  <c r="X10" i="6"/>
  <c r="X11" i="6"/>
  <c r="X12" i="6"/>
  <c r="X13" i="6"/>
  <c r="F18" i="19" l="1"/>
  <c r="M41" i="19"/>
  <c r="Y5" i="17"/>
  <c r="Y6" i="17" s="1"/>
  <c r="Y7" i="17" s="1"/>
  <c r="Y8" i="17" s="1"/>
  <c r="Y9" i="17" s="1"/>
  <c r="Y10" i="17" s="1"/>
  <c r="Y11" i="17" s="1"/>
  <c r="Y12" i="17" s="1"/>
  <c r="Y13" i="17" s="1"/>
  <c r="Y14" i="17" s="1"/>
  <c r="Y15" i="17" s="1"/>
  <c r="O53" i="17"/>
  <c r="M54" i="17"/>
  <c r="M55" i="17"/>
  <c r="M50" i="17"/>
  <c r="N55" i="17"/>
  <c r="N50" i="17"/>
  <c r="M51" i="17"/>
  <c r="N51" i="17"/>
  <c r="M58" i="17"/>
  <c r="C18" i="17"/>
  <c r="O46" i="17"/>
  <c r="Y2" i="17"/>
  <c r="M45" i="17"/>
  <c r="N54" i="17"/>
  <c r="M57" i="17"/>
  <c r="N45" i="17"/>
  <c r="M48" i="17"/>
  <c r="N57" i="17"/>
  <c r="O45" i="17"/>
  <c r="N48" i="17"/>
  <c r="O48" i="17"/>
  <c r="M53" i="17"/>
  <c r="M44" i="17"/>
  <c r="N53" i="17"/>
  <c r="M56" i="17"/>
  <c r="N44" i="17"/>
  <c r="M47" i="17"/>
  <c r="N56" i="17"/>
  <c r="O44" i="17"/>
  <c r="N47" i="17"/>
  <c r="O47" i="17"/>
  <c r="M52" i="17"/>
  <c r="N52" i="17"/>
  <c r="M46" i="17"/>
  <c r="L45" i="6"/>
  <c r="L56" i="6"/>
  <c r="L48" i="6"/>
  <c r="L54" i="6"/>
  <c r="L58" i="6"/>
  <c r="L47" i="6"/>
  <c r="L46" i="6"/>
  <c r="L53" i="6"/>
  <c r="L52" i="6"/>
  <c r="L51" i="6"/>
  <c r="L50" i="6"/>
  <c r="L55" i="6"/>
  <c r="L57" i="6"/>
  <c r="L44" i="6"/>
  <c r="Y2" i="6"/>
  <c r="Y5" i="6"/>
  <c r="Y6" i="6" s="1"/>
  <c r="Y7" i="6" s="1"/>
  <c r="Y8" i="6" s="1"/>
  <c r="Y9" i="6" s="1"/>
  <c r="Y10" i="6" s="1"/>
  <c r="Y11" i="6" s="1"/>
  <c r="Y12" i="6" s="1"/>
  <c r="Y13" i="6" s="1"/>
  <c r="Y14" i="6" s="1"/>
  <c r="Y15" i="6" s="1"/>
  <c r="X118" i="4"/>
  <c r="AL118" i="4"/>
  <c r="X117" i="4"/>
  <c r="AL117" i="4"/>
  <c r="X116" i="4"/>
  <c r="AL116" i="4"/>
  <c r="X115" i="4"/>
  <c r="AL115" i="4"/>
  <c r="X104" i="4"/>
  <c r="AL104" i="4"/>
  <c r="X95" i="4"/>
  <c r="AL95" i="4"/>
  <c r="X63" i="4"/>
  <c r="AL63" i="4"/>
  <c r="X84" i="4"/>
  <c r="AL84" i="4"/>
  <c r="M50" i="6" l="1"/>
  <c r="N50" i="6"/>
  <c r="O50" i="6"/>
  <c r="O57" i="6"/>
  <c r="N57" i="6"/>
  <c r="N55" i="6"/>
  <c r="O55" i="6"/>
  <c r="M58" i="6"/>
  <c r="O58" i="6"/>
  <c r="N58" i="6"/>
  <c r="N54" i="6"/>
  <c r="O54" i="6"/>
  <c r="O56" i="6"/>
  <c r="N56" i="6"/>
  <c r="X77" i="4"/>
  <c r="AL77" i="4"/>
  <c r="X78" i="4"/>
  <c r="AL78" i="4"/>
  <c r="X79" i="4"/>
  <c r="AL79" i="4"/>
  <c r="X80" i="4"/>
  <c r="AL80" i="4"/>
  <c r="AL65" i="4"/>
  <c r="AL66" i="4"/>
  <c r="AL67" i="4"/>
  <c r="AL68" i="4"/>
  <c r="AL69" i="4"/>
  <c r="AL70" i="4"/>
  <c r="AL71" i="4"/>
  <c r="AL72" i="4"/>
  <c r="AL73" i="4"/>
  <c r="AL74" i="4"/>
  <c r="AL75" i="4"/>
  <c r="AL76" i="4"/>
  <c r="AL82" i="4"/>
  <c r="AL83" i="4"/>
  <c r="AL86" i="4"/>
  <c r="AL87" i="4"/>
  <c r="AL88" i="4"/>
  <c r="AL89" i="4"/>
  <c r="AL90" i="4"/>
  <c r="AL92" i="4"/>
  <c r="AL93" i="4"/>
  <c r="AL94" i="4"/>
  <c r="AL97" i="4"/>
  <c r="AL102" i="4"/>
  <c r="AL103" i="4"/>
  <c r="AL106" i="4"/>
  <c r="AL107" i="4"/>
  <c r="AL108" i="4"/>
  <c r="AL110" i="4"/>
  <c r="AL111" i="4"/>
  <c r="AL113" i="4"/>
  <c r="AL114" i="4"/>
  <c r="AL59" i="4"/>
  <c r="AL60" i="4"/>
  <c r="AL61" i="4"/>
  <c r="AL62" i="4"/>
  <c r="AL58" i="4"/>
  <c r="V38" i="8"/>
  <c r="I106" i="4" l="1"/>
  <c r="I107" i="4"/>
  <c r="N88" i="4"/>
  <c r="Q88" i="4"/>
  <c r="R88" i="4" s="1"/>
  <c r="S88" i="4"/>
  <c r="T88" i="4" s="1"/>
  <c r="I88" i="4"/>
  <c r="C20" i="6"/>
  <c r="J107" i="4"/>
  <c r="J106" i="4"/>
  <c r="J105" i="4"/>
  <c r="J104" i="4"/>
  <c r="J103" i="4"/>
  <c r="J102" i="4"/>
  <c r="J101" i="4"/>
  <c r="J100" i="4"/>
  <c r="J99" i="4"/>
  <c r="J98" i="4"/>
  <c r="J97" i="4"/>
  <c r="J96" i="4"/>
  <c r="J95" i="4"/>
  <c r="J94" i="4"/>
  <c r="J93" i="4"/>
  <c r="J92" i="4"/>
  <c r="J91" i="4"/>
  <c r="J90" i="4"/>
  <c r="J89" i="4"/>
  <c r="I104" i="4"/>
  <c r="I103" i="4"/>
  <c r="I102" i="4"/>
  <c r="I101" i="4"/>
  <c r="I100" i="4"/>
  <c r="I99" i="4"/>
  <c r="I98" i="4"/>
  <c r="I97" i="4"/>
  <c r="I96" i="4"/>
  <c r="I95" i="4"/>
  <c r="I94" i="4"/>
  <c r="I93" i="4"/>
  <c r="I92" i="4"/>
  <c r="I91" i="4"/>
  <c r="I90" i="4"/>
  <c r="I89" i="4"/>
  <c r="I105" i="4"/>
  <c r="X58" i="4"/>
  <c r="X59" i="4"/>
  <c r="X60" i="4"/>
  <c r="X61" i="4"/>
  <c r="X62" i="4"/>
  <c r="X65" i="4"/>
  <c r="X66" i="4"/>
  <c r="X67" i="4"/>
  <c r="X68" i="4"/>
  <c r="X69" i="4"/>
  <c r="X70" i="4"/>
  <c r="X71" i="4"/>
  <c r="X72" i="4"/>
  <c r="X73" i="4"/>
  <c r="X74" i="4"/>
  <c r="X75" i="4"/>
  <c r="X76" i="4"/>
  <c r="X82" i="4"/>
  <c r="X83" i="4"/>
  <c r="X86" i="4"/>
  <c r="X87" i="4"/>
  <c r="X88" i="4"/>
  <c r="X89" i="4"/>
  <c r="X90" i="4"/>
  <c r="X92" i="4"/>
  <c r="X93" i="4"/>
  <c r="X94" i="4"/>
  <c r="X97" i="4"/>
  <c r="X99" i="4"/>
  <c r="X100" i="4"/>
  <c r="X102" i="4"/>
  <c r="X103" i="4"/>
  <c r="X106" i="4"/>
  <c r="X107" i="4"/>
  <c r="X108" i="4"/>
  <c r="X110" i="4"/>
  <c r="X111" i="4"/>
  <c r="X113" i="4"/>
  <c r="X114" i="4"/>
  <c r="V39" i="8"/>
  <c r="V40" i="8"/>
  <c r="L39" i="8"/>
  <c r="L38" i="8"/>
  <c r="V32" i="13"/>
  <c r="V33" i="13"/>
  <c r="V34" i="13"/>
  <c r="V31" i="12"/>
  <c r="V32" i="12"/>
  <c r="T32" i="10"/>
  <c r="J32" i="10"/>
  <c r="T35" i="14"/>
  <c r="J35" i="14"/>
  <c r="N33" i="11"/>
  <c r="S33" i="11" s="1"/>
  <c r="N34" i="11"/>
  <c r="S34" i="11" s="1"/>
  <c r="I33" i="11"/>
  <c r="I34" i="11"/>
  <c r="T53" i="7"/>
  <c r="J70" i="4"/>
  <c r="N70" i="4"/>
  <c r="U43" i="7"/>
  <c r="U44" i="7"/>
  <c r="U45" i="7"/>
  <c r="U46" i="7"/>
  <c r="U47" i="7"/>
  <c r="U48" i="7"/>
  <c r="U49" i="7"/>
  <c r="U50" i="7"/>
  <c r="U51" i="7"/>
  <c r="U52" i="7"/>
  <c r="T45" i="7"/>
  <c r="N60" i="4"/>
  <c r="N61" i="4"/>
  <c r="N62" i="4"/>
  <c r="N63" i="4"/>
  <c r="N64" i="4"/>
  <c r="N65" i="4"/>
  <c r="N66" i="4"/>
  <c r="N67" i="4"/>
  <c r="N68" i="4"/>
  <c r="N69" i="4"/>
  <c r="T36" i="9"/>
  <c r="T37" i="9"/>
  <c r="T38" i="9"/>
  <c r="T39" i="9"/>
  <c r="T40" i="9"/>
  <c r="AF100" i="4"/>
  <c r="AF99" i="4"/>
  <c r="AE100" i="4"/>
  <c r="AE99" i="4"/>
  <c r="G41" i="1"/>
  <c r="G40" i="1"/>
  <c r="G39" i="1"/>
  <c r="K35" i="1"/>
  <c r="G42" i="1"/>
  <c r="G38" i="1"/>
  <c r="G37" i="1"/>
  <c r="J32" i="1"/>
  <c r="I32" i="1"/>
  <c r="C22" i="6"/>
  <c r="U4" i="6"/>
  <c r="U5" i="6"/>
  <c r="U6" i="6"/>
  <c r="U7" i="6"/>
  <c r="U8" i="6"/>
  <c r="U9" i="6"/>
  <c r="U10" i="6"/>
  <c r="U11" i="6"/>
  <c r="U12" i="6"/>
  <c r="U13" i="6"/>
  <c r="U14" i="6"/>
  <c r="U15" i="6"/>
  <c r="P81" i="6"/>
  <c r="P88" i="6"/>
  <c r="Q88" i="6" s="1"/>
  <c r="E12" i="6" s="1"/>
  <c r="P93" i="6"/>
  <c r="P82" i="6"/>
  <c r="P80" i="6"/>
  <c r="P84" i="6"/>
  <c r="Q84" i="6" s="1"/>
  <c r="E8" i="6" s="1"/>
  <c r="P85" i="6"/>
  <c r="Q85" i="6" s="1"/>
  <c r="E9" i="6" s="1"/>
  <c r="P86" i="6"/>
  <c r="Q86" i="6" s="1"/>
  <c r="E10" i="6" s="1"/>
  <c r="P89" i="6"/>
  <c r="P90" i="6"/>
  <c r="Q90" i="6" s="1"/>
  <c r="E14" i="6" s="1"/>
  <c r="P92" i="6"/>
  <c r="Q92" i="6" s="1"/>
  <c r="E16" i="6" s="1"/>
  <c r="P83" i="6"/>
  <c r="P91" i="6"/>
  <c r="Q91" i="6" s="1"/>
  <c r="E15" i="6" s="1"/>
  <c r="P87" i="6"/>
  <c r="S106" i="4"/>
  <c r="S105" i="4"/>
  <c r="S104" i="4"/>
  <c r="S103" i="4"/>
  <c r="S102" i="4"/>
  <c r="S101" i="4"/>
  <c r="S100" i="4"/>
  <c r="S99" i="4"/>
  <c r="S98" i="4"/>
  <c r="S97" i="4"/>
  <c r="S96" i="4"/>
  <c r="S95" i="4"/>
  <c r="S94" i="4"/>
  <c r="S93" i="4"/>
  <c r="S92" i="4"/>
  <c r="S91" i="4"/>
  <c r="S90" i="4"/>
  <c r="S89" i="4"/>
  <c r="S107" i="4"/>
  <c r="Q106" i="4"/>
  <c r="Q105" i="4"/>
  <c r="Q104" i="4"/>
  <c r="Q103" i="4"/>
  <c r="Q102" i="4"/>
  <c r="Q101" i="4"/>
  <c r="Q100" i="4"/>
  <c r="Q99" i="4"/>
  <c r="Q98" i="4"/>
  <c r="Q97" i="4"/>
  <c r="Q96" i="4"/>
  <c r="Q95" i="4"/>
  <c r="Q94" i="4"/>
  <c r="Q93" i="4"/>
  <c r="Q92" i="4"/>
  <c r="Q91" i="4"/>
  <c r="Q90" i="4"/>
  <c r="Q89" i="4"/>
  <c r="Q107" i="4"/>
  <c r="N106" i="4"/>
  <c r="N105" i="4"/>
  <c r="N104" i="4"/>
  <c r="N103" i="4"/>
  <c r="N102" i="4"/>
  <c r="N101" i="4"/>
  <c r="N100" i="4"/>
  <c r="N99" i="4"/>
  <c r="N98" i="4"/>
  <c r="N97" i="4"/>
  <c r="N96" i="4"/>
  <c r="N95" i="4"/>
  <c r="N94" i="4"/>
  <c r="N93" i="4"/>
  <c r="N92" i="4"/>
  <c r="N91" i="4"/>
  <c r="N90" i="4"/>
  <c r="N89" i="4"/>
  <c r="N107" i="4"/>
  <c r="P107" i="4" s="1"/>
  <c r="K106" i="4"/>
  <c r="K105" i="4"/>
  <c r="K104" i="4"/>
  <c r="K103" i="4"/>
  <c r="K102" i="4"/>
  <c r="K101" i="4"/>
  <c r="K100" i="4"/>
  <c r="K99" i="4"/>
  <c r="K98" i="4"/>
  <c r="K97" i="4"/>
  <c r="K96" i="4"/>
  <c r="K95" i="4"/>
  <c r="K94" i="4"/>
  <c r="K93" i="4"/>
  <c r="K92" i="4"/>
  <c r="K91" i="4"/>
  <c r="K90" i="4"/>
  <c r="K89" i="4"/>
  <c r="K88" i="4"/>
  <c r="K107" i="4"/>
  <c r="M107" i="4" s="1"/>
  <c r="L42" i="5"/>
  <c r="I45" i="5" s="1"/>
  <c r="H44" i="5"/>
  <c r="H45" i="5"/>
  <c r="H46" i="5"/>
  <c r="J39" i="5"/>
  <c r="K39" i="5"/>
  <c r="AE3" i="4"/>
  <c r="AE4" i="4"/>
  <c r="C23" i="6" s="1"/>
  <c r="AE5" i="4"/>
  <c r="AE6" i="4"/>
  <c r="AE7" i="4"/>
  <c r="AE8" i="4"/>
  <c r="AE9" i="4"/>
  <c r="AE10" i="4"/>
  <c r="AE11" i="4"/>
  <c r="AE12" i="4"/>
  <c r="AE13" i="4"/>
  <c r="AE14" i="4"/>
  <c r="AG10" i="4"/>
  <c r="AG11" i="4"/>
  <c r="AJ10" i="4"/>
  <c r="AJ11" i="4"/>
  <c r="AG9" i="4"/>
  <c r="AJ9" i="4"/>
  <c r="AH10" i="4"/>
  <c r="AH11" i="4"/>
  <c r="AH9" i="4"/>
  <c r="AF4" i="4"/>
  <c r="AF5" i="4"/>
  <c r="AF6" i="4"/>
  <c r="AF7" i="4"/>
  <c r="AF8" i="4"/>
  <c r="AF9" i="4"/>
  <c r="AF10" i="4"/>
  <c r="AF11" i="4"/>
  <c r="AF12" i="4"/>
  <c r="AF13" i="4"/>
  <c r="AF3" i="4"/>
  <c r="J60" i="4"/>
  <c r="J61" i="4"/>
  <c r="J62" i="4"/>
  <c r="J63" i="4"/>
  <c r="J64" i="4"/>
  <c r="J65" i="4"/>
  <c r="J66" i="4"/>
  <c r="J67" i="4"/>
  <c r="J68" i="4"/>
  <c r="J69" i="4"/>
  <c r="L39" i="7"/>
  <c r="K39" i="7"/>
  <c r="L82" i="4"/>
  <c r="C7" i="16"/>
  <c r="E7" i="16" s="1"/>
  <c r="L75" i="6" s="1"/>
  <c r="C6" i="16"/>
  <c r="E6" i="16" s="1"/>
  <c r="K75" i="6" s="1"/>
  <c r="C5" i="16"/>
  <c r="F19" i="16" s="1"/>
  <c r="C4" i="16"/>
  <c r="D36" i="16" s="1"/>
  <c r="C3" i="16"/>
  <c r="F12" i="16" s="1"/>
  <c r="C2" i="16"/>
  <c r="E2" i="16" s="1"/>
  <c r="G75" i="6" s="1"/>
  <c r="C7" i="15"/>
  <c r="E7" i="15" s="1"/>
  <c r="L69" i="6" s="1"/>
  <c r="C6" i="15"/>
  <c r="E6" i="15" s="1"/>
  <c r="K69" i="6" s="1"/>
  <c r="C5" i="15"/>
  <c r="E5" i="15" s="1"/>
  <c r="J69" i="6" s="1"/>
  <c r="C4" i="15"/>
  <c r="D36" i="15" s="1"/>
  <c r="C3" i="15"/>
  <c r="E3" i="15" s="1"/>
  <c r="H69" i="6" s="1"/>
  <c r="C2" i="15"/>
  <c r="E2" i="15" s="1"/>
  <c r="G69" i="6" s="1"/>
  <c r="C7" i="14"/>
  <c r="E7" i="14" s="1"/>
  <c r="L70" i="6" s="1"/>
  <c r="C6" i="14"/>
  <c r="E6" i="14" s="1"/>
  <c r="K70" i="6" s="1"/>
  <c r="C5" i="14"/>
  <c r="F19" i="14" s="1"/>
  <c r="C4" i="14"/>
  <c r="D33" i="14" s="1"/>
  <c r="C3" i="14"/>
  <c r="E3" i="14" s="1"/>
  <c r="H70" i="6" s="1"/>
  <c r="C2" i="14"/>
  <c r="E2" i="14" s="1"/>
  <c r="G70" i="6" s="1"/>
  <c r="F12" i="13"/>
  <c r="C7" i="13"/>
  <c r="E7" i="13" s="1"/>
  <c r="L74" i="6" s="1"/>
  <c r="C6" i="13"/>
  <c r="E6" i="13" s="1"/>
  <c r="K74" i="6" s="1"/>
  <c r="C5" i="13"/>
  <c r="F19" i="13" s="1"/>
  <c r="C4" i="13"/>
  <c r="D33" i="13" s="1"/>
  <c r="C3" i="13"/>
  <c r="E3" i="13" s="1"/>
  <c r="H74" i="6" s="1"/>
  <c r="C2" i="13"/>
  <c r="E2" i="13" s="1"/>
  <c r="G74" i="6" s="1"/>
  <c r="F12" i="12"/>
  <c r="C7" i="12"/>
  <c r="E7" i="12" s="1"/>
  <c r="L73" i="6" s="1"/>
  <c r="C6" i="12"/>
  <c r="E6" i="12" s="1"/>
  <c r="K73" i="6" s="1"/>
  <c r="C5" i="12"/>
  <c r="E5" i="12" s="1"/>
  <c r="J73" i="6" s="1"/>
  <c r="C4" i="12"/>
  <c r="D36" i="12" s="1"/>
  <c r="C3" i="12"/>
  <c r="E3" i="12" s="1"/>
  <c r="H73" i="6" s="1"/>
  <c r="C2" i="12"/>
  <c r="E2" i="12" s="1"/>
  <c r="G73" i="6" s="1"/>
  <c r="C7" i="11"/>
  <c r="E7" i="11" s="1"/>
  <c r="L67" i="6" s="1"/>
  <c r="C6" i="11"/>
  <c r="E6" i="11" s="1"/>
  <c r="K67" i="6" s="1"/>
  <c r="C5" i="11"/>
  <c r="E5" i="11" s="1"/>
  <c r="J67" i="6" s="1"/>
  <c r="C4" i="11"/>
  <c r="E4" i="11" s="1"/>
  <c r="I67" i="6" s="1"/>
  <c r="K6" i="6" s="1"/>
  <c r="C3" i="11"/>
  <c r="E3" i="11" s="1"/>
  <c r="H67" i="6" s="1"/>
  <c r="C2" i="11"/>
  <c r="E2" i="11" s="1"/>
  <c r="G67" i="6" s="1"/>
  <c r="C7" i="10"/>
  <c r="E7" i="10" s="1"/>
  <c r="L71" i="6" s="1"/>
  <c r="C6" i="10"/>
  <c r="E6" i="10" s="1"/>
  <c r="K71" i="6" s="1"/>
  <c r="C5" i="10"/>
  <c r="F19" i="10" s="1"/>
  <c r="C4" i="10"/>
  <c r="D36" i="10" s="1"/>
  <c r="C3" i="10"/>
  <c r="E3" i="10" s="1"/>
  <c r="H71" i="6" s="1"/>
  <c r="C2" i="10"/>
  <c r="E2" i="10" s="1"/>
  <c r="G71" i="6" s="1"/>
  <c r="C7" i="9"/>
  <c r="E7" i="9" s="1"/>
  <c r="L65" i="6" s="1"/>
  <c r="C6" i="9"/>
  <c r="E6" i="9" s="1"/>
  <c r="K65" i="6" s="1"/>
  <c r="C5" i="9"/>
  <c r="E5" i="9" s="1"/>
  <c r="J65" i="6" s="1"/>
  <c r="C4" i="9"/>
  <c r="D36" i="9" s="1"/>
  <c r="C3" i="9"/>
  <c r="E3" i="9" s="1"/>
  <c r="H65" i="6" s="1"/>
  <c r="C2" i="9"/>
  <c r="E2" i="9" s="1"/>
  <c r="G65" i="6" s="1"/>
  <c r="F12" i="8"/>
  <c r="C7" i="8"/>
  <c r="E7" i="8" s="1"/>
  <c r="L76" i="6" s="1"/>
  <c r="M52" i="6" s="1"/>
  <c r="C6" i="8"/>
  <c r="E6" i="8" s="1"/>
  <c r="K76" i="6" s="1"/>
  <c r="M53" i="6" s="1"/>
  <c r="C5" i="8"/>
  <c r="F19" i="8" s="1"/>
  <c r="C4" i="8"/>
  <c r="D36" i="8" s="1"/>
  <c r="C3" i="8"/>
  <c r="E3" i="8" s="1"/>
  <c r="H76" i="6" s="1"/>
  <c r="M55" i="6" s="1"/>
  <c r="C2" i="8"/>
  <c r="E2" i="8" s="1"/>
  <c r="G76" i="6" s="1"/>
  <c r="C7" i="7"/>
  <c r="E7" i="7" s="1"/>
  <c r="L66" i="6" s="1"/>
  <c r="C6" i="7"/>
  <c r="E6" i="7" s="1"/>
  <c r="K66" i="6" s="1"/>
  <c r="C5" i="7"/>
  <c r="E5" i="7" s="1"/>
  <c r="J66" i="6" s="1"/>
  <c r="C4" i="7"/>
  <c r="D36" i="7" s="1"/>
  <c r="C3" i="7"/>
  <c r="E3" i="7" s="1"/>
  <c r="H66" i="6" s="1"/>
  <c r="C2" i="7"/>
  <c r="E2" i="7" s="1"/>
  <c r="G66" i="6" s="1"/>
  <c r="C7" i="5"/>
  <c r="C6" i="5"/>
  <c r="C5" i="5"/>
  <c r="C4" i="5"/>
  <c r="C3" i="5"/>
  <c r="E3" i="5" s="1"/>
  <c r="H72" i="6" s="1"/>
  <c r="C2" i="5"/>
  <c r="E2" i="5" s="1"/>
  <c r="G72" i="6" s="1"/>
  <c r="C2" i="1"/>
  <c r="E2" i="1" s="1"/>
  <c r="G68" i="6" s="1"/>
  <c r="C3" i="1"/>
  <c r="E3" i="1" s="1"/>
  <c r="H68" i="6" s="1"/>
  <c r="C4" i="1"/>
  <c r="E4" i="1" s="1"/>
  <c r="I68" i="6" s="1"/>
  <c r="C5" i="1"/>
  <c r="E5" i="1" s="1"/>
  <c r="J68" i="6" s="1"/>
  <c r="C6" i="1"/>
  <c r="E6" i="1" s="1"/>
  <c r="K68" i="6" s="1"/>
  <c r="C7" i="1"/>
  <c r="E7" i="1" s="1"/>
  <c r="L68" i="6" s="1"/>
  <c r="D53" i="3"/>
  <c r="E3" i="3"/>
  <c r="E4" i="3"/>
  <c r="E5" i="3"/>
  <c r="E6" i="3"/>
  <c r="E7" i="3"/>
  <c r="E8" i="3"/>
  <c r="E9" i="3"/>
  <c r="E10" i="3"/>
  <c r="E11" i="3"/>
  <c r="E12" i="3"/>
  <c r="E13" i="3"/>
  <c r="E14" i="3"/>
  <c r="E15" i="3"/>
  <c r="E17" i="3"/>
  <c r="E19" i="3"/>
  <c r="E20" i="3"/>
  <c r="E21" i="3"/>
  <c r="E22" i="3"/>
  <c r="E24" i="3"/>
  <c r="E25" i="3"/>
  <c r="E26" i="3"/>
  <c r="E28" i="3"/>
  <c r="E29" i="3"/>
  <c r="E30" i="3"/>
  <c r="E32" i="3"/>
  <c r="E33" i="3"/>
  <c r="E34" i="3"/>
  <c r="E2" i="3"/>
  <c r="J37" i="3"/>
  <c r="J39" i="3"/>
  <c r="J38" i="3"/>
  <c r="H37" i="1" l="1"/>
  <c r="J39" i="1"/>
  <c r="J40" i="1"/>
  <c r="J38" i="1"/>
  <c r="J41" i="1"/>
  <c r="J42" i="1"/>
  <c r="J37" i="1"/>
  <c r="B51" i="17"/>
  <c r="B40" i="17"/>
  <c r="B34" i="17"/>
  <c r="B30" i="17"/>
  <c r="B39" i="17"/>
  <c r="B58" i="17"/>
  <c r="B50" i="17"/>
  <c r="B38" i="17"/>
  <c r="B32" i="17"/>
  <c r="B29" i="17"/>
  <c r="B49" i="17"/>
  <c r="B37" i="17"/>
  <c r="B35" i="17"/>
  <c r="B52" i="17"/>
  <c r="B57" i="17"/>
  <c r="B36" i="17"/>
  <c r="B42" i="17"/>
  <c r="B48" i="17"/>
  <c r="B56" i="17"/>
  <c r="B47" i="17"/>
  <c r="B55" i="17"/>
  <c r="B46" i="17"/>
  <c r="B54" i="17"/>
  <c r="B45" i="17"/>
  <c r="B53" i="17"/>
  <c r="B28" i="17"/>
  <c r="B44" i="17"/>
  <c r="B60" i="17"/>
  <c r="B61" i="17"/>
  <c r="B59" i="17"/>
  <c r="B41" i="17"/>
  <c r="B33" i="17"/>
  <c r="B31" i="17"/>
  <c r="Q89" i="6"/>
  <c r="E13" i="6" s="1"/>
  <c r="H38" i="1"/>
  <c r="N52" i="6"/>
  <c r="O52" i="6"/>
  <c r="N53" i="6"/>
  <c r="O53" i="6"/>
  <c r="M51" i="6"/>
  <c r="N51" i="6"/>
  <c r="O51" i="6"/>
  <c r="M57" i="6"/>
  <c r="F17" i="12"/>
  <c r="B13" i="6" s="1"/>
  <c r="F17" i="16"/>
  <c r="B16" i="6" s="1"/>
  <c r="F17" i="13"/>
  <c r="B14" i="6" s="1"/>
  <c r="F17" i="8"/>
  <c r="B17" i="6" s="1"/>
  <c r="D32" i="5"/>
  <c r="D34" i="5"/>
  <c r="D33" i="5"/>
  <c r="D35" i="5"/>
  <c r="D36" i="5"/>
  <c r="B41" i="6"/>
  <c r="H41" i="6" s="1"/>
  <c r="B42" i="6"/>
  <c r="H42" i="6" s="1"/>
  <c r="B50" i="6"/>
  <c r="C50" i="6" s="1"/>
  <c r="B53" i="6"/>
  <c r="C53" i="6" s="1"/>
  <c r="B56" i="6"/>
  <c r="C56" i="6" s="1"/>
  <c r="B57" i="6"/>
  <c r="C57" i="6" s="1"/>
  <c r="B33" i="6"/>
  <c r="C33" i="6" s="1"/>
  <c r="B52" i="6"/>
  <c r="C52" i="6" s="1"/>
  <c r="B55" i="6"/>
  <c r="C55" i="6" s="1"/>
  <c r="B60" i="6"/>
  <c r="C60" i="6" s="1"/>
  <c r="B61" i="6"/>
  <c r="C61" i="6" s="1"/>
  <c r="B54" i="6"/>
  <c r="C54" i="6" s="1"/>
  <c r="B51" i="6"/>
  <c r="C51" i="6" s="1"/>
  <c r="B40" i="6"/>
  <c r="C40" i="6" s="1"/>
  <c r="B58" i="6"/>
  <c r="C58" i="6" s="1"/>
  <c r="B59" i="6"/>
  <c r="C59" i="6" s="1"/>
  <c r="O107" i="4"/>
  <c r="T107" i="4"/>
  <c r="M99" i="4"/>
  <c r="M88" i="4"/>
  <c r="R107" i="4"/>
  <c r="M98" i="4"/>
  <c r="H41" i="1"/>
  <c r="H39" i="1"/>
  <c r="L106" i="4"/>
  <c r="P96" i="4"/>
  <c r="P88" i="4"/>
  <c r="P99" i="4"/>
  <c r="I46" i="5"/>
  <c r="I44" i="5"/>
  <c r="H40" i="1"/>
  <c r="P98" i="4"/>
  <c r="P101" i="4"/>
  <c r="H42" i="1"/>
  <c r="P97" i="4"/>
  <c r="P100" i="4"/>
  <c r="P102" i="4"/>
  <c r="O104" i="4"/>
  <c r="P103" i="4"/>
  <c r="P104" i="4"/>
  <c r="O96" i="4"/>
  <c r="P105" i="4"/>
  <c r="P90" i="4"/>
  <c r="P106" i="4"/>
  <c r="M106" i="4"/>
  <c r="O105" i="4"/>
  <c r="O100" i="4"/>
  <c r="O103" i="4"/>
  <c r="O106" i="4"/>
  <c r="P94" i="4"/>
  <c r="P95" i="4"/>
  <c r="O88" i="4"/>
  <c r="P91" i="4"/>
  <c r="P92" i="4"/>
  <c r="P93" i="4"/>
  <c r="O92" i="4"/>
  <c r="O89" i="4"/>
  <c r="O93" i="4"/>
  <c r="O90" i="4"/>
  <c r="O97" i="4"/>
  <c r="O98" i="4"/>
  <c r="O101" i="4"/>
  <c r="O102" i="4"/>
  <c r="M95" i="4"/>
  <c r="O94" i="4"/>
  <c r="O91" i="4"/>
  <c r="M96" i="4"/>
  <c r="O95" i="4"/>
  <c r="P89" i="4"/>
  <c r="O99" i="4"/>
  <c r="M104" i="4"/>
  <c r="M97" i="4"/>
  <c r="M103" i="4"/>
  <c r="M100" i="4"/>
  <c r="L91" i="4"/>
  <c r="L103" i="4"/>
  <c r="M93" i="4"/>
  <c r="M90" i="4"/>
  <c r="M91" i="4"/>
  <c r="M92" i="4"/>
  <c r="L97" i="4"/>
  <c r="L98" i="4"/>
  <c r="M101" i="4"/>
  <c r="L93" i="4"/>
  <c r="M102" i="4"/>
  <c r="L99" i="4"/>
  <c r="M89" i="4"/>
  <c r="M105" i="4"/>
  <c r="L95" i="4"/>
  <c r="L100" i="4"/>
  <c r="L92" i="4"/>
  <c r="L96" i="4"/>
  <c r="L101" i="4"/>
  <c r="L102" i="4"/>
  <c r="L105" i="4"/>
  <c r="M94" i="4"/>
  <c r="L104" i="4"/>
  <c r="L88" i="4"/>
  <c r="L89" i="4"/>
  <c r="L90" i="4"/>
  <c r="L94" i="4"/>
  <c r="B48" i="6"/>
  <c r="C48" i="6" s="1"/>
  <c r="B47" i="6"/>
  <c r="C47" i="6" s="1"/>
  <c r="B46" i="6"/>
  <c r="C46" i="6" s="1"/>
  <c r="B45" i="6"/>
  <c r="C45" i="6" s="1"/>
  <c r="B32" i="6"/>
  <c r="C32" i="6" s="1"/>
  <c r="B44" i="6"/>
  <c r="C44" i="6" s="1"/>
  <c r="B31" i="6"/>
  <c r="C31" i="6" s="1"/>
  <c r="B35" i="6"/>
  <c r="C35" i="6" s="1"/>
  <c r="B30" i="6"/>
  <c r="C30" i="6" s="1"/>
  <c r="B29" i="6"/>
  <c r="C29" i="6" s="1"/>
  <c r="B28" i="6"/>
  <c r="C28" i="6" s="1"/>
  <c r="B34" i="6"/>
  <c r="C34" i="6" s="1"/>
  <c r="B39" i="6"/>
  <c r="C39" i="6" s="1"/>
  <c r="B38" i="6"/>
  <c r="C38" i="6" s="1"/>
  <c r="B37" i="6"/>
  <c r="C37" i="6" s="1"/>
  <c r="B49" i="6"/>
  <c r="C49" i="6" s="1"/>
  <c r="B36" i="6"/>
  <c r="C36" i="6" s="1"/>
  <c r="L31" i="12"/>
  <c r="N32" i="11"/>
  <c r="S32" i="11" s="1"/>
  <c r="N31" i="11"/>
  <c r="S31" i="11" s="1"/>
  <c r="I32" i="11"/>
  <c r="I31" i="11"/>
  <c r="P53" i="7"/>
  <c r="U53" i="7" s="1"/>
  <c r="S38" i="9"/>
  <c r="S39" i="9"/>
  <c r="O39" i="9"/>
  <c r="O38" i="9"/>
  <c r="J39" i="9"/>
  <c r="J38" i="9"/>
  <c r="J37" i="9"/>
  <c r="J36" i="9"/>
  <c r="J40" i="9"/>
  <c r="H32" i="1"/>
  <c r="K32" i="1"/>
  <c r="L32" i="1" s="1"/>
  <c r="Q81" i="6"/>
  <c r="E5" i="6" s="1"/>
  <c r="H31" i="1"/>
  <c r="K31" i="1"/>
  <c r="L31" i="1" s="1"/>
  <c r="H30" i="1"/>
  <c r="K30" i="1"/>
  <c r="L30" i="1" s="1"/>
  <c r="H29" i="1"/>
  <c r="H28" i="1"/>
  <c r="K29" i="1"/>
  <c r="L29" i="1" s="1"/>
  <c r="K27" i="1"/>
  <c r="L27" i="1" s="1"/>
  <c r="K28" i="1"/>
  <c r="L28" i="1" s="1"/>
  <c r="H27" i="1"/>
  <c r="T90" i="4"/>
  <c r="K15" i="6"/>
  <c r="K11" i="6"/>
  <c r="K7" i="6"/>
  <c r="R103" i="4"/>
  <c r="R104" i="4"/>
  <c r="R89" i="4"/>
  <c r="R105" i="4"/>
  <c r="R90" i="4"/>
  <c r="R106" i="4"/>
  <c r="R99" i="4"/>
  <c r="T103" i="4"/>
  <c r="R92" i="4"/>
  <c r="T104" i="4"/>
  <c r="R93" i="4"/>
  <c r="T89" i="4"/>
  <c r="T105" i="4"/>
  <c r="R94" i="4"/>
  <c r="T106" i="4"/>
  <c r="R95" i="4"/>
  <c r="T91" i="4"/>
  <c r="T92" i="4"/>
  <c r="T93" i="4"/>
  <c r="T94" i="4"/>
  <c r="T95" i="4"/>
  <c r="R100" i="4"/>
  <c r="T96" i="4"/>
  <c r="R101" i="4"/>
  <c r="Q93" i="6"/>
  <c r="E17" i="6" s="1"/>
  <c r="Q83" i="6"/>
  <c r="E7" i="6" s="1"/>
  <c r="Q82" i="6"/>
  <c r="E6" i="6" s="1"/>
  <c r="Q80" i="6"/>
  <c r="E4" i="6" s="1"/>
  <c r="Q87" i="6"/>
  <c r="E11" i="6" s="1"/>
  <c r="T97" i="4"/>
  <c r="R97" i="4"/>
  <c r="R91" i="4"/>
  <c r="T100" i="4"/>
  <c r="T98" i="4"/>
  <c r="R98" i="4"/>
  <c r="T99" i="4"/>
  <c r="T102" i="4"/>
  <c r="R102" i="4"/>
  <c r="T101" i="4"/>
  <c r="R96" i="4"/>
  <c r="L38" i="5"/>
  <c r="L39" i="5"/>
  <c r="M39" i="5" s="1"/>
  <c r="I38" i="5"/>
  <c r="AB100" i="4" s="1"/>
  <c r="I39" i="5"/>
  <c r="L37" i="5"/>
  <c r="I37" i="5"/>
  <c r="AB99" i="4" s="1"/>
  <c r="M38" i="7"/>
  <c r="P38" i="7"/>
  <c r="J38" i="7"/>
  <c r="L38" i="7"/>
  <c r="K38" i="7"/>
  <c r="J37" i="7"/>
  <c r="J39" i="7"/>
  <c r="M39" i="7"/>
  <c r="N39" i="7" s="1"/>
  <c r="M37" i="7"/>
  <c r="N37" i="7" s="1"/>
  <c r="C28" i="7"/>
  <c r="C22" i="1"/>
  <c r="F21" i="1" s="1"/>
  <c r="C21" i="8"/>
  <c r="C20" i="1"/>
  <c r="C19" i="1"/>
  <c r="C22" i="11"/>
  <c r="F21" i="11" s="1"/>
  <c r="C21" i="5"/>
  <c r="D32" i="11"/>
  <c r="C13" i="5"/>
  <c r="C22" i="9"/>
  <c r="F21" i="9" s="1"/>
  <c r="C18" i="1"/>
  <c r="C22" i="10"/>
  <c r="F21" i="10" s="1"/>
  <c r="C28" i="8"/>
  <c r="C26" i="13"/>
  <c r="C15" i="10"/>
  <c r="C27" i="9"/>
  <c r="C14" i="7"/>
  <c r="D37" i="13"/>
  <c r="C14" i="5"/>
  <c r="C15" i="8"/>
  <c r="C17" i="1"/>
  <c r="C22" i="7"/>
  <c r="F21" i="7" s="1"/>
  <c r="C12" i="1"/>
  <c r="C28" i="5"/>
  <c r="C15" i="7"/>
  <c r="C24" i="5"/>
  <c r="C23" i="5"/>
  <c r="C12" i="7"/>
  <c r="C20" i="15"/>
  <c r="C20" i="5"/>
  <c r="E4" i="10"/>
  <c r="I71" i="6" s="1"/>
  <c r="K10" i="6" s="1"/>
  <c r="C15" i="12"/>
  <c r="C28" i="1"/>
  <c r="C19" i="5"/>
  <c r="C21" i="12"/>
  <c r="C27" i="1"/>
  <c r="C18" i="5"/>
  <c r="E5" i="10"/>
  <c r="J71" i="6" s="1"/>
  <c r="E5" i="14"/>
  <c r="J70" i="6" s="1"/>
  <c r="C24" i="1"/>
  <c r="C17" i="5"/>
  <c r="C12" i="9"/>
  <c r="C12" i="11"/>
  <c r="C14" i="9"/>
  <c r="C15" i="11"/>
  <c r="E5" i="16"/>
  <c r="J75" i="6" s="1"/>
  <c r="F19" i="9"/>
  <c r="C18" i="11"/>
  <c r="E4" i="13"/>
  <c r="I74" i="6" s="1"/>
  <c r="K14" i="6" s="1"/>
  <c r="C12" i="5"/>
  <c r="C14" i="8"/>
  <c r="C20" i="9"/>
  <c r="C14" i="10"/>
  <c r="C20" i="11"/>
  <c r="C14" i="14"/>
  <c r="C18" i="14"/>
  <c r="C11" i="16"/>
  <c r="C23" i="7"/>
  <c r="C17" i="8"/>
  <c r="C24" i="9"/>
  <c r="C18" i="10"/>
  <c r="C23" i="14"/>
  <c r="C11" i="13"/>
  <c r="C26" i="16"/>
  <c r="C15" i="1"/>
  <c r="C21" i="7"/>
  <c r="C22" i="8"/>
  <c r="F21" i="8" s="1"/>
  <c r="C28" i="9"/>
  <c r="C24" i="10"/>
  <c r="C11" i="1"/>
  <c r="C20" i="7"/>
  <c r="C24" i="8"/>
  <c r="D32" i="9"/>
  <c r="D34" i="10"/>
  <c r="C14" i="13"/>
  <c r="E5" i="8"/>
  <c r="J76" i="6" s="1"/>
  <c r="M54" i="6" s="1"/>
  <c r="C13" i="9"/>
  <c r="C19" i="11"/>
  <c r="C22" i="12"/>
  <c r="F21" i="12" s="1"/>
  <c r="C12" i="13"/>
  <c r="C27" i="13"/>
  <c r="C15" i="14"/>
  <c r="C21" i="15"/>
  <c r="C12" i="16"/>
  <c r="C27" i="16"/>
  <c r="C16" i="10"/>
  <c r="C23" i="12"/>
  <c r="C28" i="13"/>
  <c r="C16" i="14"/>
  <c r="C22" i="15"/>
  <c r="F21" i="15" s="1"/>
  <c r="C13" i="16"/>
  <c r="C28" i="16"/>
  <c r="C16" i="1"/>
  <c r="C23" i="8"/>
  <c r="C15" i="9"/>
  <c r="C17" i="10"/>
  <c r="C21" i="11"/>
  <c r="C24" i="12"/>
  <c r="C13" i="13"/>
  <c r="C17" i="14"/>
  <c r="C23" i="15"/>
  <c r="C14" i="16"/>
  <c r="C16" i="9"/>
  <c r="C25" i="12"/>
  <c r="C24" i="15"/>
  <c r="C15" i="16"/>
  <c r="C19" i="7"/>
  <c r="C11" i="8"/>
  <c r="C14" i="1"/>
  <c r="C16" i="5"/>
  <c r="C18" i="7"/>
  <c r="C12" i="8"/>
  <c r="C25" i="8"/>
  <c r="C17" i="9"/>
  <c r="C19" i="10"/>
  <c r="C23" i="11"/>
  <c r="C12" i="12"/>
  <c r="C26" i="12"/>
  <c r="C15" i="13"/>
  <c r="C19" i="14"/>
  <c r="C25" i="15"/>
  <c r="C16" i="16"/>
  <c r="C11" i="12"/>
  <c r="C13" i="1"/>
  <c r="C15" i="5"/>
  <c r="C17" i="7"/>
  <c r="C26" i="8"/>
  <c r="C18" i="9"/>
  <c r="C24" i="11"/>
  <c r="C27" i="12"/>
  <c r="C16" i="13"/>
  <c r="C20" i="14"/>
  <c r="C11" i="15"/>
  <c r="C26" i="15"/>
  <c r="C17" i="16"/>
  <c r="C16" i="7"/>
  <c r="C13" i="8"/>
  <c r="C27" i="8"/>
  <c r="C19" i="9"/>
  <c r="C20" i="10"/>
  <c r="C25" i="11"/>
  <c r="C13" i="12"/>
  <c r="C28" i="12"/>
  <c r="C17" i="13"/>
  <c r="C21" i="14"/>
  <c r="C12" i="15"/>
  <c r="C27" i="15"/>
  <c r="C18" i="16"/>
  <c r="C21" i="10"/>
  <c r="C11" i="11"/>
  <c r="C26" i="11"/>
  <c r="C14" i="12"/>
  <c r="C18" i="13"/>
  <c r="C22" i="14"/>
  <c r="F21" i="14" s="1"/>
  <c r="C13" i="15"/>
  <c r="C28" i="15"/>
  <c r="C19" i="16"/>
  <c r="C19" i="13"/>
  <c r="C14" i="15"/>
  <c r="C27" i="11"/>
  <c r="C25" i="1"/>
  <c r="C27" i="5"/>
  <c r="C11" i="5"/>
  <c r="C13" i="7"/>
  <c r="C16" i="8"/>
  <c r="C21" i="9"/>
  <c r="C23" i="10"/>
  <c r="F12" i="11"/>
  <c r="C28" i="11"/>
  <c r="C16" i="12"/>
  <c r="C20" i="13"/>
  <c r="C24" i="14"/>
  <c r="C15" i="15"/>
  <c r="C20" i="16"/>
  <c r="C26" i="5"/>
  <c r="C13" i="11"/>
  <c r="C17" i="12"/>
  <c r="C21" i="13"/>
  <c r="C25" i="14"/>
  <c r="C16" i="15"/>
  <c r="C21" i="16"/>
  <c r="C23" i="1"/>
  <c r="C25" i="5"/>
  <c r="C27" i="7"/>
  <c r="C11" i="7"/>
  <c r="C18" i="8"/>
  <c r="C23" i="9"/>
  <c r="C25" i="10"/>
  <c r="C14" i="11"/>
  <c r="D35" i="11"/>
  <c r="C18" i="12"/>
  <c r="C22" i="13"/>
  <c r="F21" i="13" s="1"/>
  <c r="C26" i="14"/>
  <c r="C17" i="15"/>
  <c r="C22" i="16"/>
  <c r="F21" i="16" s="1"/>
  <c r="C19" i="8"/>
  <c r="C11" i="10"/>
  <c r="C19" i="12"/>
  <c r="C23" i="13"/>
  <c r="C11" i="14"/>
  <c r="C27" i="14"/>
  <c r="C18" i="15"/>
  <c r="C23" i="16"/>
  <c r="C26" i="1"/>
  <c r="C21" i="1"/>
  <c r="C25" i="7"/>
  <c r="C25" i="9"/>
  <c r="C12" i="10"/>
  <c r="C27" i="10"/>
  <c r="C16" i="11"/>
  <c r="F19" i="12"/>
  <c r="C24" i="13"/>
  <c r="C12" i="14"/>
  <c r="C28" i="14"/>
  <c r="C19" i="15"/>
  <c r="C24" i="16"/>
  <c r="C26" i="7"/>
  <c r="C26" i="10"/>
  <c r="C22" i="5"/>
  <c r="F21" i="5" s="1"/>
  <c r="C24" i="7"/>
  <c r="C20" i="8"/>
  <c r="C11" i="9"/>
  <c r="C26" i="9"/>
  <c r="C13" i="10"/>
  <c r="C28" i="10"/>
  <c r="C17" i="11"/>
  <c r="C20" i="12"/>
  <c r="C25" i="13"/>
  <c r="C13" i="14"/>
  <c r="F19" i="15"/>
  <c r="C25" i="16"/>
  <c r="E3" i="16"/>
  <c r="H75" i="6" s="1"/>
  <c r="D32" i="16"/>
  <c r="D33" i="16"/>
  <c r="E4" i="16"/>
  <c r="I75" i="6" s="1"/>
  <c r="K16" i="6" s="1"/>
  <c r="D34" i="16"/>
  <c r="D35" i="16"/>
  <c r="F12" i="15"/>
  <c r="E4" i="15"/>
  <c r="F12" i="14"/>
  <c r="D32" i="14"/>
  <c r="D34" i="14"/>
  <c r="D35" i="14"/>
  <c r="D36" i="14"/>
  <c r="E4" i="14"/>
  <c r="D34" i="13"/>
  <c r="D35" i="13"/>
  <c r="D36" i="13"/>
  <c r="E5" i="13"/>
  <c r="J74" i="6" s="1"/>
  <c r="D32" i="13"/>
  <c r="E4" i="12"/>
  <c r="I73" i="6" s="1"/>
  <c r="K13" i="6" s="1"/>
  <c r="D32" i="12"/>
  <c r="D33" i="12"/>
  <c r="D34" i="12"/>
  <c r="D35" i="12"/>
  <c r="F19" i="11"/>
  <c r="D33" i="11"/>
  <c r="D34" i="11"/>
  <c r="D36" i="11"/>
  <c r="F12" i="10"/>
  <c r="D32" i="10"/>
  <c r="D33" i="10"/>
  <c r="D35" i="10"/>
  <c r="D33" i="9"/>
  <c r="F12" i="9"/>
  <c r="E4" i="9"/>
  <c r="I65" i="6" s="1"/>
  <c r="K4" i="6" s="1"/>
  <c r="D34" i="9"/>
  <c r="D35" i="9"/>
  <c r="D32" i="8"/>
  <c r="D33" i="8"/>
  <c r="E4" i="8"/>
  <c r="I76" i="6" s="1"/>
  <c r="D34" i="8"/>
  <c r="D35" i="8"/>
  <c r="D32" i="1"/>
  <c r="F19" i="1"/>
  <c r="D20" i="6" s="1"/>
  <c r="B25" i="6" s="1"/>
  <c r="D35" i="1"/>
  <c r="D34" i="1"/>
  <c r="D33" i="1"/>
  <c r="F12" i="7"/>
  <c r="F19" i="7"/>
  <c r="E4" i="7"/>
  <c r="I66" i="6" s="1"/>
  <c r="K5" i="6" s="1"/>
  <c r="E5" i="5"/>
  <c r="J72" i="6" s="1"/>
  <c r="F12" i="5"/>
  <c r="F19" i="5"/>
  <c r="E7" i="5"/>
  <c r="L72" i="6" s="1"/>
  <c r="E6" i="5"/>
  <c r="K72" i="6" s="1"/>
  <c r="E4" i="5"/>
  <c r="I72" i="6" s="1"/>
  <c r="K12" i="6" s="1"/>
  <c r="F12" i="1"/>
  <c r="G37" i="3"/>
  <c r="F37" i="3"/>
  <c r="B37" i="3"/>
  <c r="E37" i="3"/>
  <c r="H37" i="3"/>
  <c r="E33" i="17" l="1"/>
  <c r="G33" i="17" s="1"/>
  <c r="H33" i="17"/>
  <c r="I33" i="17" s="1"/>
  <c r="C33" i="17"/>
  <c r="D33" i="17" s="1"/>
  <c r="H36" i="17"/>
  <c r="I36" i="17" s="1"/>
  <c r="E36" i="17"/>
  <c r="G36" i="17" s="1"/>
  <c r="C36" i="17"/>
  <c r="D36" i="17" s="1"/>
  <c r="H61" i="17"/>
  <c r="I61" i="17" s="1"/>
  <c r="C61" i="17"/>
  <c r="D61" i="17" s="1"/>
  <c r="E61" i="17"/>
  <c r="G61" i="17" s="1"/>
  <c r="E35" i="17"/>
  <c r="G35" i="17" s="1"/>
  <c r="H35" i="17"/>
  <c r="I35" i="17" s="1"/>
  <c r="C35" i="17"/>
  <c r="D35" i="17" s="1"/>
  <c r="H52" i="17"/>
  <c r="I52" i="17" s="1"/>
  <c r="C52" i="17"/>
  <c r="D52" i="17" s="1"/>
  <c r="E52" i="17"/>
  <c r="G52" i="17" s="1"/>
  <c r="H60" i="17"/>
  <c r="I60" i="17" s="1"/>
  <c r="C60" i="17"/>
  <c r="D60" i="17" s="1"/>
  <c r="E60" i="17"/>
  <c r="G60" i="17" s="1"/>
  <c r="C37" i="17"/>
  <c r="D37" i="17" s="1"/>
  <c r="E37" i="17"/>
  <c r="G37" i="17" s="1"/>
  <c r="H37" i="17"/>
  <c r="I37" i="17" s="1"/>
  <c r="H44" i="17"/>
  <c r="I44" i="17" s="1"/>
  <c r="E44" i="17"/>
  <c r="G44" i="17" s="1"/>
  <c r="C44" i="17"/>
  <c r="D44" i="17" s="1"/>
  <c r="C49" i="17"/>
  <c r="D49" i="17" s="1"/>
  <c r="E49" i="17"/>
  <c r="G49" i="17" s="1"/>
  <c r="H49" i="17"/>
  <c r="I49" i="17" s="1"/>
  <c r="H28" i="17"/>
  <c r="I28" i="17" s="1"/>
  <c r="C28" i="17"/>
  <c r="D28" i="17" s="1"/>
  <c r="E28" i="17"/>
  <c r="G28" i="17" s="1"/>
  <c r="D29" i="17"/>
  <c r="E29" i="17"/>
  <c r="G29" i="17" s="1"/>
  <c r="C29" i="17"/>
  <c r="H29" i="17"/>
  <c r="I29" i="17" s="1"/>
  <c r="E53" i="17"/>
  <c r="G53" i="17" s="1"/>
  <c r="C53" i="17"/>
  <c r="D53" i="17" s="1"/>
  <c r="H53" i="17"/>
  <c r="I53" i="17" s="1"/>
  <c r="E32" i="17"/>
  <c r="G32" i="17" s="1"/>
  <c r="C32" i="17"/>
  <c r="D32" i="17" s="1"/>
  <c r="H32" i="17"/>
  <c r="I32" i="17" s="1"/>
  <c r="H45" i="17"/>
  <c r="I45" i="17" s="1"/>
  <c r="C45" i="17"/>
  <c r="D45" i="17" s="1"/>
  <c r="E45" i="17"/>
  <c r="G45" i="17" s="1"/>
  <c r="C38" i="17"/>
  <c r="D38" i="17" s="1"/>
  <c r="H38" i="17"/>
  <c r="I38" i="17" s="1"/>
  <c r="E38" i="17"/>
  <c r="G38" i="17" s="1"/>
  <c r="H59" i="17"/>
  <c r="I59" i="17" s="1"/>
  <c r="E59" i="17"/>
  <c r="G59" i="17" s="1"/>
  <c r="C59" i="17"/>
  <c r="D59" i="17" s="1"/>
  <c r="C54" i="17"/>
  <c r="D54" i="17" s="1"/>
  <c r="H54" i="17"/>
  <c r="I54" i="17" s="1"/>
  <c r="E54" i="17"/>
  <c r="G54" i="17" s="1"/>
  <c r="C50" i="17"/>
  <c r="D50" i="17" s="1"/>
  <c r="H50" i="17"/>
  <c r="I50" i="17" s="1"/>
  <c r="E50" i="17"/>
  <c r="G50" i="17" s="1"/>
  <c r="H41" i="17"/>
  <c r="I41" i="17" s="1"/>
  <c r="E41" i="17"/>
  <c r="G41" i="17" s="1"/>
  <c r="C41" i="17"/>
  <c r="D41" i="17" s="1"/>
  <c r="H46" i="17"/>
  <c r="I46" i="17" s="1"/>
  <c r="E46" i="17"/>
  <c r="G46" i="17" s="1"/>
  <c r="C46" i="17"/>
  <c r="D46" i="17" s="1"/>
  <c r="H58" i="17"/>
  <c r="I58" i="17" s="1"/>
  <c r="C58" i="17"/>
  <c r="D58" i="17" s="1"/>
  <c r="E58" i="17"/>
  <c r="G58" i="17" s="1"/>
  <c r="H55" i="17"/>
  <c r="I55" i="17" s="1"/>
  <c r="E55" i="17"/>
  <c r="G55" i="17" s="1"/>
  <c r="C55" i="17"/>
  <c r="D55" i="17" s="1"/>
  <c r="H39" i="17"/>
  <c r="I39" i="17" s="1"/>
  <c r="C39" i="17"/>
  <c r="D39" i="17" s="1"/>
  <c r="E39" i="17"/>
  <c r="G39" i="17" s="1"/>
  <c r="H57" i="17"/>
  <c r="I57" i="17" s="1"/>
  <c r="E57" i="17"/>
  <c r="G57" i="17" s="1"/>
  <c r="C57" i="17"/>
  <c r="D57" i="17" s="1"/>
  <c r="C47" i="17"/>
  <c r="D47" i="17" s="1"/>
  <c r="H47" i="17"/>
  <c r="I47" i="17" s="1"/>
  <c r="E47" i="17"/>
  <c r="G47" i="17" s="1"/>
  <c r="H30" i="17"/>
  <c r="I30" i="17" s="1"/>
  <c r="C30" i="17"/>
  <c r="D30" i="17" s="1"/>
  <c r="E30" i="17"/>
  <c r="G30" i="17" s="1"/>
  <c r="H56" i="17"/>
  <c r="I56" i="17" s="1"/>
  <c r="C56" i="17"/>
  <c r="D56" i="17" s="1"/>
  <c r="E56" i="17"/>
  <c r="G56" i="17" s="1"/>
  <c r="C34" i="17"/>
  <c r="D34" i="17" s="1"/>
  <c r="H34" i="17"/>
  <c r="I34" i="17" s="1"/>
  <c r="E34" i="17"/>
  <c r="G34" i="17" s="1"/>
  <c r="E48" i="17"/>
  <c r="G48" i="17" s="1"/>
  <c r="C48" i="17"/>
  <c r="D48" i="17" s="1"/>
  <c r="H48" i="17"/>
  <c r="I48" i="17" s="1"/>
  <c r="H40" i="17"/>
  <c r="I40" i="17" s="1"/>
  <c r="C40" i="17"/>
  <c r="D40" i="17" s="1"/>
  <c r="E40" i="17"/>
  <c r="G40" i="17" s="1"/>
  <c r="C31" i="17"/>
  <c r="D31" i="17" s="1"/>
  <c r="E31" i="17"/>
  <c r="G31" i="17" s="1"/>
  <c r="H31" i="17"/>
  <c r="I31" i="17" s="1"/>
  <c r="C42" i="17"/>
  <c r="D42" i="17" s="1"/>
  <c r="H42" i="17"/>
  <c r="I42" i="17" s="1"/>
  <c r="E42" i="17"/>
  <c r="G42" i="17" s="1"/>
  <c r="H51" i="17"/>
  <c r="I51" i="17" s="1"/>
  <c r="E51" i="17"/>
  <c r="G51" i="17" s="1"/>
  <c r="C51" i="17"/>
  <c r="D51" i="17" s="1"/>
  <c r="K17" i="6"/>
  <c r="M56" i="6"/>
  <c r="D25" i="6"/>
  <c r="F17" i="15"/>
  <c r="B8" i="6" s="1"/>
  <c r="F17" i="11"/>
  <c r="B6" i="6" s="1"/>
  <c r="E25" i="6"/>
  <c r="F17" i="1"/>
  <c r="B11" i="6" s="1"/>
  <c r="F17" i="7"/>
  <c r="B5" i="6" s="1"/>
  <c r="F17" i="14"/>
  <c r="B9" i="6" s="1"/>
  <c r="F17" i="5"/>
  <c r="B12" i="6" s="1"/>
  <c r="E28" i="6"/>
  <c r="G28" i="6" s="1"/>
  <c r="F17" i="9"/>
  <c r="B4" i="6" s="1"/>
  <c r="C25" i="6"/>
  <c r="F17" i="10"/>
  <c r="B10" i="6" s="1"/>
  <c r="E41" i="6"/>
  <c r="G41" i="6" s="1"/>
  <c r="E35" i="6"/>
  <c r="G35" i="6" s="1"/>
  <c r="E31" i="6"/>
  <c r="G31" i="6" s="1"/>
  <c r="H39" i="6"/>
  <c r="I39" i="6" s="1"/>
  <c r="E38" i="6"/>
  <c r="G38" i="6" s="1"/>
  <c r="E39" i="6"/>
  <c r="G39" i="6" s="1"/>
  <c r="H30" i="6"/>
  <c r="I30" i="6" s="1"/>
  <c r="H36" i="6"/>
  <c r="I36" i="6" s="1"/>
  <c r="E36" i="6"/>
  <c r="G36" i="6" s="1"/>
  <c r="E34" i="6"/>
  <c r="G34" i="6" s="1"/>
  <c r="H33" i="6"/>
  <c r="I33" i="6" s="1"/>
  <c r="E33" i="6"/>
  <c r="G33" i="6" s="1"/>
  <c r="E30" i="6"/>
  <c r="G30" i="6" s="1"/>
  <c r="H32" i="6"/>
  <c r="I32" i="6" s="1"/>
  <c r="H29" i="6"/>
  <c r="I29" i="6" s="1"/>
  <c r="H40" i="6"/>
  <c r="I40" i="6" s="1"/>
  <c r="H38" i="6"/>
  <c r="I38" i="6" s="1"/>
  <c r="E42" i="6"/>
  <c r="G42" i="6" s="1"/>
  <c r="E37" i="6"/>
  <c r="G37" i="6" s="1"/>
  <c r="E40" i="6"/>
  <c r="G40" i="6" s="1"/>
  <c r="H34" i="6"/>
  <c r="I34" i="6" s="1"/>
  <c r="H37" i="6"/>
  <c r="I37" i="6" s="1"/>
  <c r="E32" i="6"/>
  <c r="G32" i="6" s="1"/>
  <c r="H35" i="6"/>
  <c r="I35" i="6" s="1"/>
  <c r="H31" i="6"/>
  <c r="I31" i="6" s="1"/>
  <c r="E29" i="6"/>
  <c r="G29" i="6" s="1"/>
  <c r="H28" i="6"/>
  <c r="I28" i="6" s="1"/>
  <c r="D55" i="6"/>
  <c r="H55" i="6"/>
  <c r="I55" i="6" s="1"/>
  <c r="E55" i="6"/>
  <c r="G55" i="6" s="1"/>
  <c r="D51" i="6"/>
  <c r="H51" i="6"/>
  <c r="I51" i="6" s="1"/>
  <c r="E51" i="6"/>
  <c r="G51" i="6" s="1"/>
  <c r="H44" i="6"/>
  <c r="I44" i="6" s="1"/>
  <c r="E44" i="6"/>
  <c r="G44" i="6" s="1"/>
  <c r="D44" i="6"/>
  <c r="H54" i="6"/>
  <c r="I54" i="6" s="1"/>
  <c r="E54" i="6"/>
  <c r="G54" i="6" s="1"/>
  <c r="D54" i="6"/>
  <c r="C42" i="6"/>
  <c r="D42" i="6" s="1"/>
  <c r="H61" i="6"/>
  <c r="I61" i="6" s="1"/>
  <c r="E61" i="6"/>
  <c r="G61" i="6" s="1"/>
  <c r="D61" i="6"/>
  <c r="C41" i="6"/>
  <c r="D41" i="6" s="1"/>
  <c r="D47" i="6"/>
  <c r="E47" i="6"/>
  <c r="G47" i="6" s="1"/>
  <c r="H47" i="6"/>
  <c r="I47" i="6" s="1"/>
  <c r="D52" i="6"/>
  <c r="E52" i="6"/>
  <c r="G52" i="6" s="1"/>
  <c r="H52" i="6"/>
  <c r="I52" i="6" s="1"/>
  <c r="E48" i="6"/>
  <c r="G48" i="6" s="1"/>
  <c r="D48" i="6"/>
  <c r="H48" i="6"/>
  <c r="I48" i="6" s="1"/>
  <c r="H49" i="6"/>
  <c r="I49" i="6" s="1"/>
  <c r="D49" i="6"/>
  <c r="E49" i="6"/>
  <c r="G49" i="6" s="1"/>
  <c r="D57" i="6"/>
  <c r="H57" i="6"/>
  <c r="I57" i="6" s="1"/>
  <c r="E57" i="6"/>
  <c r="G57" i="6" s="1"/>
  <c r="D56" i="6"/>
  <c r="H56" i="6"/>
  <c r="I56" i="6" s="1"/>
  <c r="E56" i="6"/>
  <c r="G56" i="6" s="1"/>
  <c r="D46" i="6"/>
  <c r="H46" i="6"/>
  <c r="I46" i="6" s="1"/>
  <c r="E46" i="6"/>
  <c r="G46" i="6" s="1"/>
  <c r="H53" i="6"/>
  <c r="I53" i="6" s="1"/>
  <c r="E53" i="6"/>
  <c r="G53" i="6" s="1"/>
  <c r="D53" i="6"/>
  <c r="D50" i="6"/>
  <c r="E50" i="6"/>
  <c r="G50" i="6" s="1"/>
  <c r="H50" i="6"/>
  <c r="I50" i="6" s="1"/>
  <c r="H60" i="6"/>
  <c r="I60" i="6" s="1"/>
  <c r="E60" i="6"/>
  <c r="G60" i="6" s="1"/>
  <c r="D60" i="6"/>
  <c r="E59" i="6"/>
  <c r="G59" i="6" s="1"/>
  <c r="D59" i="6"/>
  <c r="H59" i="6"/>
  <c r="I59" i="6" s="1"/>
  <c r="E58" i="6"/>
  <c r="G58" i="6" s="1"/>
  <c r="H58" i="6"/>
  <c r="I58" i="6" s="1"/>
  <c r="D58" i="6"/>
  <c r="H45" i="6"/>
  <c r="I45" i="6" s="1"/>
  <c r="D45" i="6"/>
  <c r="E45" i="6"/>
  <c r="G45" i="6" s="1"/>
  <c r="D40" i="6"/>
  <c r="I41" i="6"/>
  <c r="I42" i="6"/>
  <c r="L39" i="1"/>
  <c r="M39" i="1" s="1"/>
  <c r="M46" i="5"/>
  <c r="N46" i="5" s="1"/>
  <c r="D30" i="6"/>
  <c r="D35" i="6"/>
  <c r="D31" i="6"/>
  <c r="D36" i="6"/>
  <c r="D37" i="6"/>
  <c r="D33" i="6"/>
  <c r="D38" i="6"/>
  <c r="D32" i="6"/>
  <c r="D39" i="6"/>
  <c r="D28" i="6"/>
  <c r="D29" i="6"/>
  <c r="D34" i="6"/>
  <c r="R31" i="11"/>
  <c r="M38" i="5"/>
  <c r="AG100" i="4"/>
  <c r="AL100" i="4" s="1"/>
  <c r="M37" i="5"/>
  <c r="AG99" i="4"/>
  <c r="AL99" i="4" s="1"/>
  <c r="L40" i="1"/>
  <c r="M40" i="1" s="1"/>
  <c r="L38" i="1"/>
  <c r="M38" i="1" s="1"/>
  <c r="L42" i="1"/>
  <c r="M42" i="1" s="1"/>
  <c r="K44" i="5"/>
  <c r="K39" i="1"/>
  <c r="K38" i="1"/>
  <c r="K40" i="1"/>
  <c r="K37" i="1"/>
  <c r="K41" i="1"/>
  <c r="L41" i="1"/>
  <c r="M41" i="1" s="1"/>
  <c r="K42" i="1"/>
  <c r="L37" i="1"/>
  <c r="M37" i="1" s="1"/>
  <c r="I41" i="1"/>
  <c r="I40" i="1"/>
  <c r="I39" i="1"/>
  <c r="I37" i="1"/>
  <c r="I42" i="1"/>
  <c r="I38" i="1"/>
  <c r="I70" i="6"/>
  <c r="K9" i="6" s="1"/>
  <c r="I69" i="6"/>
  <c r="K8" i="6" s="1"/>
  <c r="M44" i="5"/>
  <c r="M45" i="5"/>
  <c r="K46" i="5"/>
  <c r="L46" i="5" s="1"/>
  <c r="K45" i="5"/>
  <c r="J46" i="5"/>
  <c r="N38" i="7"/>
  <c r="F18" i="13"/>
  <c r="C14" i="6" s="1"/>
  <c r="F18" i="1"/>
  <c r="F18" i="16"/>
  <c r="C16" i="6" s="1"/>
  <c r="F18" i="15"/>
  <c r="C8" i="6" s="1"/>
  <c r="F18" i="14"/>
  <c r="C9" i="6" s="1"/>
  <c r="F18" i="12"/>
  <c r="C13" i="6" s="1"/>
  <c r="F18" i="11"/>
  <c r="C6" i="6" s="1"/>
  <c r="F18" i="10"/>
  <c r="C10" i="6" s="1"/>
  <c r="F18" i="9"/>
  <c r="C4" i="6" s="1"/>
  <c r="F18" i="8"/>
  <c r="C17" i="6" s="1"/>
  <c r="F18" i="7"/>
  <c r="C5" i="6" s="1"/>
  <c r="F18" i="5"/>
  <c r="C12" i="6" s="1"/>
  <c r="B15" i="6" l="1"/>
  <c r="B7" i="6"/>
  <c r="C15" i="6"/>
  <c r="C7" i="6"/>
  <c r="C11" i="6"/>
  <c r="N45" i="5"/>
  <c r="J45" i="5"/>
  <c r="L45" i="5"/>
  <c r="J44" i="5"/>
  <c r="N44" i="5"/>
  <c r="L44" i="5"/>
  <c r="F5" i="6"/>
  <c r="D5" i="6" s="1"/>
  <c r="F16" i="6"/>
  <c r="F7" i="6"/>
  <c r="F11" i="6"/>
  <c r="F15" i="6"/>
  <c r="F10" i="6"/>
  <c r="F6" i="6"/>
  <c r="F17" i="6"/>
  <c r="F13" i="6"/>
  <c r="D13" i="6" s="1"/>
  <c r="F8" i="6"/>
  <c r="F14" i="6"/>
  <c r="F12" i="6"/>
  <c r="F4" i="6"/>
  <c r="F9" i="6"/>
  <c r="C18" i="6" l="1"/>
  <c r="N44" i="6"/>
  <c r="O46" i="6"/>
  <c r="O44" i="6"/>
  <c r="N47" i="6"/>
  <c r="O47" i="6"/>
  <c r="N48" i="6"/>
  <c r="N46" i="6"/>
  <c r="O48" i="6"/>
  <c r="N45" i="6"/>
  <c r="O45" i="6"/>
  <c r="M48" i="6"/>
  <c r="M45" i="6"/>
  <c r="M47" i="6"/>
  <c r="M46" i="6"/>
  <c r="M44" i="6"/>
  <c r="D15" i="6"/>
  <c r="D7" i="6"/>
  <c r="D17" i="6"/>
  <c r="D12" i="6"/>
  <c r="D8" i="6"/>
  <c r="D4" i="6"/>
  <c r="D16" i="6"/>
  <c r="D14" i="6"/>
  <c r="D6" i="6"/>
  <c r="D10" i="6"/>
  <c r="D9" i="6"/>
  <c r="D11" i="6"/>
  <c r="I37" i="3"/>
  <c r="C37" i="3"/>
  <c r="D37" i="3"/>
  <c r="H43" i="3"/>
  <c r="H39" i="3"/>
  <c r="H47" i="3"/>
  <c r="H45" i="3"/>
  <c r="H44" i="3"/>
  <c r="H38" i="3"/>
  <c r="H42" i="3"/>
  <c r="H40" i="3"/>
  <c r="H46" i="3"/>
  <c r="H41" i="3"/>
  <c r="F46" i="3"/>
  <c r="F42" i="3"/>
  <c r="F39" i="3"/>
  <c r="F45" i="3"/>
  <c r="F44" i="3"/>
  <c r="F38" i="3"/>
  <c r="F41" i="3"/>
  <c r="F40" i="3"/>
  <c r="F47" i="3"/>
  <c r="F43" i="3"/>
  <c r="E47" i="3"/>
  <c r="E41" i="3"/>
  <c r="E40" i="3"/>
  <c r="E39" i="3"/>
  <c r="E46" i="3"/>
  <c r="E45" i="3"/>
  <c r="E38" i="3"/>
  <c r="E44" i="3"/>
  <c r="E42" i="3"/>
  <c r="E43" i="3"/>
  <c r="D46" i="3"/>
  <c r="D39" i="3"/>
  <c r="D42" i="3"/>
  <c r="D41" i="3"/>
  <c r="D38" i="3"/>
  <c r="D47" i="3"/>
  <c r="D44" i="3"/>
  <c r="D45" i="3"/>
  <c r="D43" i="3"/>
  <c r="D40" i="3"/>
  <c r="C42" i="3"/>
  <c r="C39" i="3"/>
  <c r="C41" i="3"/>
  <c r="C46" i="3"/>
  <c r="C38" i="3"/>
  <c r="C44" i="3"/>
  <c r="C40" i="3"/>
  <c r="C47" i="3"/>
  <c r="C43" i="3"/>
  <c r="C45" i="3"/>
  <c r="B38" i="3"/>
  <c r="B47" i="3"/>
  <c r="B42" i="3"/>
  <c r="B46" i="3"/>
  <c r="B45" i="3"/>
  <c r="B44" i="3"/>
  <c r="B40" i="3"/>
  <c r="B39" i="3"/>
  <c r="B43" i="3"/>
  <c r="B41" i="3"/>
  <c r="I41" i="3"/>
  <c r="I40" i="3"/>
  <c r="I44" i="3"/>
  <c r="I39" i="3"/>
  <c r="I47" i="3"/>
  <c r="I38" i="3"/>
  <c r="I42" i="3"/>
  <c r="I43" i="3"/>
  <c r="I45" i="3"/>
  <c r="I46" i="3"/>
  <c r="G45" i="3"/>
  <c r="G40" i="3"/>
  <c r="G38" i="3"/>
  <c r="G44" i="3"/>
  <c r="G39" i="3"/>
  <c r="G47" i="3"/>
  <c r="G42" i="3"/>
  <c r="G41" i="3"/>
  <c r="G43" i="3"/>
  <c r="G4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BB07F35-D7C5-40F5-984A-E17812986ED3}"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<sst xmlns="http://schemas.openxmlformats.org/spreadsheetml/2006/main" count="3964" uniqueCount="694">
  <si>
    <t>Strength</t>
  </si>
  <si>
    <t>Dexterity</t>
  </si>
  <si>
    <t>Constitution</t>
  </si>
  <si>
    <t>Intelligence</t>
  </si>
  <si>
    <t>Wisdom</t>
  </si>
  <si>
    <t>Charisma</t>
  </si>
  <si>
    <t>Ability</t>
  </si>
  <si>
    <t>Score</t>
  </si>
  <si>
    <t>Spell Name</t>
  </si>
  <si>
    <t>Foresight</t>
  </si>
  <si>
    <t>9th</t>
  </si>
  <si>
    <t>Touch</t>
  </si>
  <si>
    <t>Blade of Disaster</t>
  </si>
  <si>
    <t>Bonus</t>
  </si>
  <si>
    <t>Crown of Stars</t>
  </si>
  <si>
    <t>7th</t>
  </si>
  <si>
    <t>Conjure Celestial</t>
  </si>
  <si>
    <t>Tenser's Transformation</t>
  </si>
  <si>
    <t>6th</t>
  </si>
  <si>
    <t>Investiture of Stone</t>
  </si>
  <si>
    <t>Globe of Invulnerability</t>
  </si>
  <si>
    <t>Eyebite</t>
  </si>
  <si>
    <t>Telekinesis</t>
  </si>
  <si>
    <t>5th</t>
  </si>
  <si>
    <t>Danse Macabre</t>
  </si>
  <si>
    <t>Cloudkill</t>
  </si>
  <si>
    <t>Animate Objects</t>
  </si>
  <si>
    <t>Sickening Radiance</t>
  </si>
  <si>
    <t>4th</t>
  </si>
  <si>
    <t>Locate Creature</t>
  </si>
  <si>
    <t>Greater Invisibility</t>
  </si>
  <si>
    <t>Conjure Woodland Beings</t>
  </si>
  <si>
    <t>Confusion</t>
  </si>
  <si>
    <t>Aura of Life</t>
  </si>
  <si>
    <t>Spirit Guardians</t>
  </si>
  <si>
    <t>3rd</t>
  </si>
  <si>
    <t>Slow</t>
  </si>
  <si>
    <t>Intellect Fortress</t>
  </si>
  <si>
    <t>Hypnotic Pattern</t>
  </si>
  <si>
    <t>Conjure Animals</t>
  </si>
  <si>
    <t>Web</t>
  </si>
  <si>
    <t>2nd</t>
  </si>
  <si>
    <t>Spike Growth</t>
  </si>
  <si>
    <t>Mirror Image</t>
  </si>
  <si>
    <t>Shield of Faith</t>
  </si>
  <si>
    <t>1st</t>
  </si>
  <si>
    <t>Sanctuary</t>
  </si>
  <si>
    <t>Protection from Evil and Good</t>
  </si>
  <si>
    <t>Mage Armor</t>
  </si>
  <si>
    <t>Bless</t>
  </si>
  <si>
    <t>Spell Level</t>
  </si>
  <si>
    <t>Upcast Desired</t>
  </si>
  <si>
    <t>Number of Glyphs</t>
  </si>
  <si>
    <t>Creatures</t>
  </si>
  <si>
    <t>Archdruid</t>
  </si>
  <si>
    <t>Conclave Dryad</t>
  </si>
  <si>
    <t>Drow Arachnomancer</t>
  </si>
  <si>
    <t>Gallows Speaker</t>
  </si>
  <si>
    <t>Ghost</t>
  </si>
  <si>
    <t>Gloom Weaver</t>
  </si>
  <si>
    <t>Ki-rin</t>
  </si>
  <si>
    <t>Neothelid</t>
  </si>
  <si>
    <t>Nothic + Oni</t>
  </si>
  <si>
    <t>Rakshasa</t>
  </si>
  <si>
    <t>Vampire Spectator</t>
  </si>
  <si>
    <t xml:space="preserve">2nd </t>
  </si>
  <si>
    <t>8th</t>
  </si>
  <si>
    <t>Façade (20 levels of Wizard)</t>
  </si>
  <si>
    <t>Hour #</t>
  </si>
  <si>
    <t>Spells Done</t>
  </si>
  <si>
    <t>Total</t>
  </si>
  <si>
    <t>Foresight, Blade of Disaster, Globe of Invulnerability, Animate Objects, Conjure Animals, Conjure Woodland Beings, Confusion, Intellect Fortress, Bless, Crown of Stars, Conjure Celestial, Tensor's Transformation, Investiture of Stone, Eyebite, Spirit Guardians, Telekinesis, Danse Macabre, Cloud Kill, Sickening Radiance, Locate Creature, Greater Invisibility, Aura of Life, Slow, Hypnotic Pattern</t>
  </si>
  <si>
    <t>Cost</t>
  </si>
  <si>
    <t>all 9th level spells, two 6th, two 5th, two 5th, two 5th, two 4th, two 4th, two 4th, two 3rd, two 3rd</t>
  </si>
  <si>
    <t>Circle of Power</t>
  </si>
  <si>
    <t>Glyphs Left</t>
  </si>
  <si>
    <t>2nd/3rd, 2nd/3rd, 2nd/3rd, 1st/3rd, 1st/3rd, 1st/3rd, 1st/3rd, two 6th, two 5th, two 4th, 1/3</t>
  </si>
  <si>
    <t>Web, Spike Growth, Mirror Image, Shield of Faith, Sanctuary, Protection from Evil and Good, Mage Armor, Eyebite, Telekinesis, Greater Invisibility, Shield of Faith</t>
  </si>
  <si>
    <t>Total Cards Made</t>
  </si>
  <si>
    <t>Level</t>
  </si>
  <si>
    <t>Proficiency Bonus</t>
  </si>
  <si>
    <t>Ability Score</t>
  </si>
  <si>
    <t>Modifier</t>
  </si>
  <si>
    <t>Modifiers</t>
  </si>
  <si>
    <t>Proficiency</t>
  </si>
  <si>
    <t>Proficiency?</t>
  </si>
  <si>
    <t>Yes</t>
  </si>
  <si>
    <t>No</t>
  </si>
  <si>
    <t>Level:</t>
  </si>
  <si>
    <t>Saving Throw</t>
  </si>
  <si>
    <t>Skills</t>
  </si>
  <si>
    <t>Proficiency Level</t>
  </si>
  <si>
    <t>None</t>
  </si>
  <si>
    <t>Expertise</t>
  </si>
  <si>
    <t>Acrobatics</t>
  </si>
  <si>
    <t>Animal Handling</t>
  </si>
  <si>
    <t>Arcana</t>
  </si>
  <si>
    <t>Athletics</t>
  </si>
  <si>
    <t>Deception</t>
  </si>
  <si>
    <t>History</t>
  </si>
  <si>
    <t>Insight</t>
  </si>
  <si>
    <t>Intimidation</t>
  </si>
  <si>
    <t>Investigation</t>
  </si>
  <si>
    <t>Medicine</t>
  </si>
  <si>
    <t>Nature</t>
  </si>
  <si>
    <t>Perception</t>
  </si>
  <si>
    <t>Performance</t>
  </si>
  <si>
    <t>Persuasion</t>
  </si>
  <si>
    <t>Religion</t>
  </si>
  <si>
    <t>Sleight of Hand</t>
  </si>
  <si>
    <t>Stealth</t>
  </si>
  <si>
    <t>Survival</t>
  </si>
  <si>
    <t>Column1</t>
  </si>
  <si>
    <t>Skill</t>
  </si>
  <si>
    <t>Level of Prociency</t>
  </si>
  <si>
    <t>AC:</t>
  </si>
  <si>
    <t>Shield:</t>
  </si>
  <si>
    <t>Armor</t>
  </si>
  <si>
    <t>Studded Leather</t>
  </si>
  <si>
    <t>Dex Modifier</t>
  </si>
  <si>
    <t>Half Plate</t>
  </si>
  <si>
    <t>Plate</t>
  </si>
  <si>
    <t>Dexterity Bonus</t>
  </si>
  <si>
    <t>Defense Fighting Style Bonus:</t>
  </si>
  <si>
    <t>Class</t>
  </si>
  <si>
    <t>Hit Dice</t>
  </si>
  <si>
    <t>Wizard</t>
  </si>
  <si>
    <t>Fighter</t>
  </si>
  <si>
    <t>Sorcerer</t>
  </si>
  <si>
    <t>Paladin</t>
  </si>
  <si>
    <t>Levels</t>
  </si>
  <si>
    <t>Hit Points</t>
  </si>
  <si>
    <t>Hit Points:</t>
  </si>
  <si>
    <t xml:space="preserve">Average </t>
  </si>
  <si>
    <t>Bonus Actions</t>
  </si>
  <si>
    <t>Descriptions</t>
  </si>
  <si>
    <t>Telekinetic Shove</t>
  </si>
  <si>
    <t>Illusory Reality</t>
  </si>
  <si>
    <t>Vow of Enmity</t>
  </si>
  <si>
    <t>Second Wind</t>
  </si>
  <si>
    <t>Manifest Echo</t>
  </si>
  <si>
    <t>Swap Place with Echo</t>
  </si>
  <si>
    <t>Actions</t>
  </si>
  <si>
    <t>Malleable Illusion</t>
  </si>
  <si>
    <t>Divine Sense</t>
  </si>
  <si>
    <t>Lay on Hands</t>
  </si>
  <si>
    <t>Abjure Enemy</t>
  </si>
  <si>
    <t>Dodge</t>
  </si>
  <si>
    <t>Cast a Spell</t>
  </si>
  <si>
    <t>Attack</t>
  </si>
  <si>
    <t>Free Actions</t>
  </si>
  <si>
    <t xml:space="preserve">Illusory Reality </t>
  </si>
  <si>
    <t>Divine Smite</t>
  </si>
  <si>
    <t>Heightened Spell</t>
  </si>
  <si>
    <t>Twinned Spell</t>
  </si>
  <si>
    <t>Subtle Spell</t>
  </si>
  <si>
    <t>Move Echo</t>
  </si>
  <si>
    <t>Reactions</t>
  </si>
  <si>
    <t>Illusory Self</t>
  </si>
  <si>
    <t>War Caster</t>
  </si>
  <si>
    <t>Shield</t>
  </si>
  <si>
    <t>Counterspell</t>
  </si>
  <si>
    <t>Silvery Barbs</t>
  </si>
  <si>
    <t>Wish</t>
  </si>
  <si>
    <t>Echo Knight Opportunity Attack</t>
  </si>
  <si>
    <t>Interception</t>
  </si>
  <si>
    <t>Restore Balance</t>
  </si>
  <si>
    <t>Spells from Clockwork Sorcerer</t>
  </si>
  <si>
    <t>Aid</t>
  </si>
  <si>
    <t>Lesser Restoration</t>
  </si>
  <si>
    <t>Armor of Agathys</t>
  </si>
  <si>
    <t>Name</t>
  </si>
  <si>
    <t>Spells from Paladin</t>
  </si>
  <si>
    <t>Bane</t>
  </si>
  <si>
    <t>Cure Wounds</t>
  </si>
  <si>
    <t>Hunter's Mark</t>
  </si>
  <si>
    <t>Compelled Duel</t>
  </si>
  <si>
    <t>30ft range; STR Save; 5ft toward or away from you</t>
  </si>
  <si>
    <t>Save DC</t>
  </si>
  <si>
    <t>Call/Dismiss Familiar</t>
  </si>
  <si>
    <t>Familiar's Sight</t>
  </si>
  <si>
    <t>Familiar's Spell Deliverance</t>
  </si>
  <si>
    <t>When you cast an illusion spell, part of it is real</t>
  </si>
  <si>
    <t>Change an illusion in progress</t>
  </si>
  <si>
    <t>On an ongoing spell</t>
  </si>
  <si>
    <t>Advantage on an enemy within 10ft</t>
  </si>
  <si>
    <t>Convert Sorcery Points</t>
  </si>
  <si>
    <t>1d10+3 hp</t>
  </si>
  <si>
    <t>Appears within 15ft</t>
  </si>
  <si>
    <t>Costs 15ft of movement regardless of the distance teleported</t>
  </si>
  <si>
    <t>60ft radius</t>
  </si>
  <si>
    <t>20 HP</t>
  </si>
  <si>
    <t>WIS Save; Frightened &amp; Speed 0</t>
  </si>
  <si>
    <t>Dryad Natural Armor</t>
  </si>
  <si>
    <t>Ki-rin Natural Armor</t>
  </si>
  <si>
    <t>Neothelid Natural Armor</t>
  </si>
  <si>
    <t>Rakshasa Natural Armor</t>
  </si>
  <si>
    <t>Vampire Natural Armor</t>
  </si>
  <si>
    <t>When a creature you can see hits someone, within 5 ft. with an attack, reaction to reduce damage taken by 1d10+4</t>
  </si>
  <si>
    <t>Creature Properties:</t>
  </si>
  <si>
    <t>Legendary Resistance</t>
  </si>
  <si>
    <t>Magical Resistance</t>
  </si>
  <si>
    <t>Magical Weapons</t>
  </si>
  <si>
    <t>Innate Spellcasting</t>
  </si>
  <si>
    <t>Spellcasting</t>
  </si>
  <si>
    <t>18th Level Cleric</t>
  </si>
  <si>
    <t>Blindsight</t>
  </si>
  <si>
    <t>30ft</t>
  </si>
  <si>
    <t>Poison Immunity</t>
  </si>
  <si>
    <t>Passive Perception</t>
  </si>
  <si>
    <t>Creature Properties</t>
  </si>
  <si>
    <t>Flying</t>
  </si>
  <si>
    <t>Fire Resistance</t>
  </si>
  <si>
    <t>Size: Huge</t>
  </si>
  <si>
    <t>Creature Type: Celestial</t>
  </si>
  <si>
    <t>Speed: 60ft / 120ft flying</t>
  </si>
  <si>
    <t>Innate Spells from Ki-rin</t>
  </si>
  <si>
    <t>Gaseous Form</t>
  </si>
  <si>
    <t>Major Image</t>
  </si>
  <si>
    <t>Wind Walk</t>
  </si>
  <si>
    <t>Cleric Spells from Ki-rin</t>
  </si>
  <si>
    <t>Druid Spells from Archdruid</t>
  </si>
  <si>
    <t>Change Shape</t>
  </si>
  <si>
    <t>New Race</t>
  </si>
  <si>
    <t>Vampire</t>
  </si>
  <si>
    <t>Damage Resistances</t>
  </si>
  <si>
    <t>Necrotic; Nonmagical Bludgeoning, Piercing, and Slashing</t>
  </si>
  <si>
    <t>Shapechanger</t>
  </si>
  <si>
    <t>Regeneration</t>
  </si>
  <si>
    <t>Spider Climb</t>
  </si>
  <si>
    <t>Bite</t>
  </si>
  <si>
    <t>Charm</t>
  </si>
  <si>
    <t>Children of the Night</t>
  </si>
  <si>
    <t>Eye Rays</t>
  </si>
  <si>
    <t>Spell Reflection</t>
  </si>
  <si>
    <t>Languages</t>
  </si>
  <si>
    <t>Druidic, +2</t>
  </si>
  <si>
    <t>All, Telepathy 120ft</t>
  </si>
  <si>
    <t>Deep Speech, Undercommon, Telepathy 120ft</t>
  </si>
  <si>
    <t>Hover 40ft</t>
  </si>
  <si>
    <t>Wizard Spells from Vampire Spellcaster</t>
  </si>
  <si>
    <t>Multiattack</t>
  </si>
  <si>
    <t>Arachnomancer</t>
  </si>
  <si>
    <t>Warlock Spells from Arachnomancer</t>
  </si>
  <si>
    <t>Poison Resistance</t>
  </si>
  <si>
    <t>Polymorph into a Giant Spider</t>
  </si>
  <si>
    <t>Fey Ancestry</t>
  </si>
  <si>
    <t>Web Walker</t>
  </si>
  <si>
    <t>Poisonous Touch</t>
  </si>
  <si>
    <t>Blindsight 10ft</t>
  </si>
  <si>
    <t>Innate Spells from Arachnomancer</t>
  </si>
  <si>
    <t>Necrotic Immunity</t>
  </si>
  <si>
    <t>Immunity to</t>
  </si>
  <si>
    <t>Charmed; Exhaustion</t>
  </si>
  <si>
    <t>12th level Warlock</t>
  </si>
  <si>
    <t>16th level Warlock Spellcasting</t>
  </si>
  <si>
    <t>Burden of Time</t>
  </si>
  <si>
    <t>Misty Escape</t>
  </si>
  <si>
    <t>Unarmored</t>
  </si>
  <si>
    <t>Innate Spells from Gloomweaver</t>
  </si>
  <si>
    <t>Warlock Spells from Gloomweaver</t>
  </si>
  <si>
    <t>Two melee attacks then cast a spell</t>
  </si>
  <si>
    <t>Spells from Dryad's Innate Spellcasting</t>
  </si>
  <si>
    <t>Magic Resistance</t>
  </si>
  <si>
    <t>Speak with Beasts and Plants</t>
  </si>
  <si>
    <t>Summon Mount</t>
  </si>
  <si>
    <t>Suppress Magic</t>
  </si>
  <si>
    <t>Vinestaff</t>
  </si>
  <si>
    <t>Spells from Neothelid's Psionics</t>
  </si>
  <si>
    <t>Creature Sense</t>
  </si>
  <si>
    <t>1 mile</t>
  </si>
  <si>
    <t>Psionic Spellcasting</t>
  </si>
  <si>
    <t>Tentacles</t>
  </si>
  <si>
    <t>Acid Breath</t>
  </si>
  <si>
    <t xml:space="preserve">Size: Gargantuan </t>
  </si>
  <si>
    <t>Spells from Oni's Magic</t>
  </si>
  <si>
    <t>Nothic</t>
  </si>
  <si>
    <t>Oni</t>
  </si>
  <si>
    <t>Keen Sight</t>
  </si>
  <si>
    <t>Weird Insight</t>
  </si>
  <si>
    <t>120ft Truesight</t>
  </si>
  <si>
    <t>Damage Immunities</t>
  </si>
  <si>
    <t>Condition Immunities</t>
  </si>
  <si>
    <t>acid, fire, lightning, thunder; bludgeoning, slashing, piercing from nonmagical attacks</t>
  </si>
  <si>
    <t>cold, necrotic, poison</t>
  </si>
  <si>
    <t>charmed, exhaustion, frightened, grappled, paralyzed, petrified, poisoned, prone, restrained</t>
  </si>
  <si>
    <t>Ethereal Sight</t>
  </si>
  <si>
    <t>Incorporeal Movement</t>
  </si>
  <si>
    <t>Withering Touch</t>
  </si>
  <si>
    <t>Etherealness</t>
  </si>
  <si>
    <t>Horrifying Visage</t>
  </si>
  <si>
    <t>Possession</t>
  </si>
  <si>
    <t>bludgeoning, slashing, piercing from nonmagical attacks</t>
  </si>
  <si>
    <t>necrotic, poison</t>
  </si>
  <si>
    <t>Unusual Nature</t>
  </si>
  <si>
    <t>Foretelling Touch</t>
  </si>
  <si>
    <t>Suffering Echoes</t>
  </si>
  <si>
    <t>Creature</t>
  </si>
  <si>
    <t>Current Hitpoints</t>
  </si>
  <si>
    <t>Gloomweaver</t>
  </si>
  <si>
    <t>Nothic Oni</t>
  </si>
  <si>
    <t>Combat Tracker</t>
  </si>
  <si>
    <t>Creature Affected</t>
  </si>
  <si>
    <t>Damage Dealt</t>
  </si>
  <si>
    <t>Creature Tracker</t>
  </si>
  <si>
    <t>Limited Magic Immunity</t>
  </si>
  <si>
    <t>Damage Immunity</t>
  </si>
  <si>
    <t>bludgeoning, slashing, and piercing from nonmagical attacks</t>
  </si>
  <si>
    <t>AC</t>
  </si>
  <si>
    <t>Chainmail</t>
  </si>
  <si>
    <t>Hide</t>
  </si>
  <si>
    <t>Melee Options</t>
  </si>
  <si>
    <t>Damage Dice</t>
  </si>
  <si>
    <t># of Dice</t>
  </si>
  <si>
    <t>Bonus Damage</t>
  </si>
  <si>
    <t>Hoof</t>
  </si>
  <si>
    <t>Horn</t>
  </si>
  <si>
    <t>Description</t>
  </si>
  <si>
    <t>Bonus To Hit</t>
  </si>
  <si>
    <t>Range</t>
  </si>
  <si>
    <t>Average Damage</t>
  </si>
  <si>
    <t>Weapons</t>
  </si>
  <si>
    <t>Dice #</t>
  </si>
  <si>
    <t>Dexterity or Strength</t>
  </si>
  <si>
    <t>Greataxe</t>
  </si>
  <si>
    <t>Greatsword</t>
  </si>
  <si>
    <t>Rapier</t>
  </si>
  <si>
    <t>Scimitar</t>
  </si>
  <si>
    <t>Heavy Crossbow</t>
  </si>
  <si>
    <t>Longbow</t>
  </si>
  <si>
    <t>Glaive</t>
  </si>
  <si>
    <t>Special Properties</t>
  </si>
  <si>
    <t>Heavy, Two-Handed</t>
  </si>
  <si>
    <t>Finesse</t>
  </si>
  <si>
    <t>Finesse, Light</t>
  </si>
  <si>
    <t>Heavy, Two-Handed, 100/400</t>
  </si>
  <si>
    <t>Heavy, Two-Handed, 150/600</t>
  </si>
  <si>
    <t>Heavy, Two-Handed, Reach</t>
  </si>
  <si>
    <t>Light Crossbow</t>
  </si>
  <si>
    <t>Two-Handed, 80/320</t>
  </si>
  <si>
    <t>Conjured Creature Tracker</t>
  </si>
  <si>
    <t>HP</t>
  </si>
  <si>
    <t>Wolf</t>
  </si>
  <si>
    <t>Pixie</t>
  </si>
  <si>
    <t>Grunt</t>
  </si>
  <si>
    <t>Summons</t>
  </si>
  <si>
    <t>Giant Scorpions</t>
  </si>
  <si>
    <t>Giant Coral Snake</t>
  </si>
  <si>
    <t>Giant Boar</t>
  </si>
  <si>
    <t>Giant Lightning Eel</t>
  </si>
  <si>
    <t>Spells</t>
  </si>
  <si>
    <t># Dice</t>
  </si>
  <si>
    <t>Fireball</t>
  </si>
  <si>
    <t>Steel Wind Strike</t>
  </si>
  <si>
    <t>Circle of Death</t>
  </si>
  <si>
    <t>DC</t>
  </si>
  <si>
    <t>Condition</t>
  </si>
  <si>
    <t>Mass Suggestion</t>
  </si>
  <si>
    <t>Charmed</t>
  </si>
  <si>
    <t>Otiluke's Resilient Sphere</t>
  </si>
  <si>
    <t>Sleep</t>
  </si>
  <si>
    <t>Forcecage</t>
  </si>
  <si>
    <t>Animal Shapes</t>
  </si>
  <si>
    <t>Banishment</t>
  </si>
  <si>
    <t>Incapacitated</t>
  </si>
  <si>
    <t>Restrained</t>
  </si>
  <si>
    <t>Oni Glaive</t>
  </si>
  <si>
    <t>Wildshapes</t>
  </si>
  <si>
    <t>Mammoth</t>
  </si>
  <si>
    <t>Animated Breath</t>
  </si>
  <si>
    <t>Fire Elemental</t>
  </si>
  <si>
    <t>Elder Giant Lizard</t>
  </si>
  <si>
    <t>Brontosaurus</t>
  </si>
  <si>
    <t>Earth Elemental</t>
  </si>
  <si>
    <t>Wildshape Attacks</t>
  </si>
  <si>
    <t>Strength or Dexterity</t>
  </si>
  <si>
    <t>Attack Name</t>
  </si>
  <si>
    <t>Gore</t>
  </si>
  <si>
    <t>Stomp</t>
  </si>
  <si>
    <t>Reach</t>
  </si>
  <si>
    <t>Requirement</t>
  </si>
  <si>
    <t>Prone</t>
  </si>
  <si>
    <t>Trampling Gore</t>
  </si>
  <si>
    <t>18 Strength</t>
  </si>
  <si>
    <t>Slam</t>
  </si>
  <si>
    <t>Extra Damage Dice #</t>
  </si>
  <si>
    <t>Extra Damage Dice</t>
  </si>
  <si>
    <t>Ignited</t>
  </si>
  <si>
    <t>Tail</t>
  </si>
  <si>
    <t>Grappled, Restrained</t>
  </si>
  <si>
    <t>16 Strength</t>
  </si>
  <si>
    <t>Not Grappled</t>
  </si>
  <si>
    <t>14 Strength</t>
  </si>
  <si>
    <t>Creature + Move</t>
  </si>
  <si>
    <t>Move</t>
  </si>
  <si>
    <t>MammothTrampling Gore</t>
  </si>
  <si>
    <t>Enemy Creatures</t>
  </si>
  <si>
    <t xml:space="preserve">Creature </t>
  </si>
  <si>
    <t>Mind Flayer</t>
  </si>
  <si>
    <t>Elder Brain</t>
  </si>
  <si>
    <t>Ulitharid</t>
  </si>
  <si>
    <t>Mind Witness</t>
  </si>
  <si>
    <t>Alhoon</t>
  </si>
  <si>
    <t>Illithilich</t>
  </si>
  <si>
    <t>Quaggoth</t>
  </si>
  <si>
    <t>Quaggoth Thonot</t>
  </si>
  <si>
    <t>Grimlock</t>
  </si>
  <si>
    <t>Mind Flayer Psion</t>
  </si>
  <si>
    <t>Mind Flayer Arcanist</t>
  </si>
  <si>
    <t>Vampiric Mind Flayer</t>
  </si>
  <si>
    <t>Intelligence Save</t>
  </si>
  <si>
    <t>Wisdom Save</t>
  </si>
  <si>
    <t>Charisma Save</t>
  </si>
  <si>
    <t>Constitution Save</t>
  </si>
  <si>
    <t>Dexterity Save</t>
  </si>
  <si>
    <t>Strength Save</t>
  </si>
  <si>
    <t>Choose an Opponent:</t>
  </si>
  <si>
    <t>% to Hit</t>
  </si>
  <si>
    <t>% ADV</t>
  </si>
  <si>
    <t>AVG DMG</t>
  </si>
  <si>
    <t>ADV DMG</t>
  </si>
  <si>
    <t>DIS DMG</t>
  </si>
  <si>
    <t>% DIS</t>
  </si>
  <si>
    <t>Roll</t>
  </si>
  <si>
    <t>Normal</t>
  </si>
  <si>
    <t>Advantage</t>
  </si>
  <si>
    <t>Disadvantage</t>
  </si>
  <si>
    <t>2xAdvantage</t>
  </si>
  <si>
    <t>2xDisadvantage</t>
  </si>
  <si>
    <t>ADV2 Cumulative</t>
  </si>
  <si>
    <t>DIS2 Cumulative</t>
  </si>
  <si>
    <t>Total Hit Points</t>
  </si>
  <si>
    <t>Health Status</t>
  </si>
  <si>
    <t>Spell Arsenal Status</t>
  </si>
  <si>
    <t>Save</t>
  </si>
  <si>
    <t>Summon Fey</t>
  </si>
  <si>
    <t>Summon Lesser Demons</t>
  </si>
  <si>
    <t>Summon Shadowspawn</t>
  </si>
  <si>
    <t>Summon Aberration</t>
  </si>
  <si>
    <t>Summon Construct</t>
  </si>
  <si>
    <t>Summon Elemental</t>
  </si>
  <si>
    <t>Summon Celestial</t>
  </si>
  <si>
    <t>Summon Draconic Spirit</t>
  </si>
  <si>
    <t>Summon Fiend</t>
  </si>
  <si>
    <t>Conjure Minor Elementals</t>
  </si>
  <si>
    <t>Conjure Elemental</t>
  </si>
  <si>
    <t xml:space="preserve">Conjure Fey </t>
  </si>
  <si>
    <t>Commune</t>
  </si>
  <si>
    <t>Divination</t>
  </si>
  <si>
    <t>Commune with Nature</t>
  </si>
  <si>
    <t>Legend Lore</t>
  </si>
  <si>
    <t>Contact Other Planes</t>
  </si>
  <si>
    <t>Planar Ally</t>
  </si>
  <si>
    <t>Gate</t>
  </si>
  <si>
    <t>Magic Circle</t>
  </si>
  <si>
    <t>Planar Binding</t>
  </si>
  <si>
    <t>Mordenkainen's Private Sanctum</t>
  </si>
  <si>
    <t>Antilife Shell</t>
  </si>
  <si>
    <t>Scrying</t>
  </si>
  <si>
    <t>Find the Path</t>
  </si>
  <si>
    <t>Plant Growth</t>
  </si>
  <si>
    <t>Awaken</t>
  </si>
  <si>
    <t>Mass Cure Wounds</t>
  </si>
  <si>
    <t>Druid Grove</t>
  </si>
  <si>
    <t>Transport via Plants</t>
  </si>
  <si>
    <t>Divine Word</t>
  </si>
  <si>
    <t>Bigby's Hand</t>
  </si>
  <si>
    <t>Sickening Radience</t>
  </si>
  <si>
    <t>Tasha's Mind Whip</t>
  </si>
  <si>
    <t>Mass Heal</t>
  </si>
  <si>
    <t>Mass Healing Word</t>
  </si>
  <si>
    <t>Mass Polymorph</t>
  </si>
  <si>
    <t>True Polymorph</t>
  </si>
  <si>
    <t>Shapechange</t>
  </si>
  <si>
    <t>Rope Trick</t>
  </si>
  <si>
    <t>Plane Shift</t>
  </si>
  <si>
    <t>Wall of Force</t>
  </si>
  <si>
    <t>Scatter</t>
  </si>
  <si>
    <t>Arcane Eye</t>
  </si>
  <si>
    <t>Arcane Gate</t>
  </si>
  <si>
    <t>Creature Stats</t>
  </si>
  <si>
    <t>Spell Weightings</t>
  </si>
  <si>
    <t>Weight</t>
  </si>
  <si>
    <t>Spell Slot Tracker</t>
  </si>
  <si>
    <t>Casting Tracker</t>
  </si>
  <si>
    <t>Creature Casting</t>
  </si>
  <si>
    <t>Prime</t>
  </si>
  <si>
    <t>Spell Presence</t>
  </si>
  <si>
    <t>Current Spell Arsenal</t>
  </si>
  <si>
    <t>Facade</t>
  </si>
  <si>
    <t>Order of Operations</t>
  </si>
  <si>
    <r>
      <rPr>
        <b/>
        <sz val="11"/>
        <color theme="1"/>
        <rFont val="Calibri"/>
        <family val="2"/>
        <scheme val="minor"/>
      </rPr>
      <t>Vampire</t>
    </r>
    <r>
      <rPr>
        <sz val="11"/>
        <color theme="1"/>
        <rFont val="Calibri"/>
        <family val="2"/>
        <scheme val="minor"/>
      </rPr>
      <t xml:space="preserve"> regains 20hp</t>
    </r>
  </si>
  <si>
    <r>
      <rPr>
        <b/>
        <sz val="11"/>
        <color theme="1"/>
        <rFont val="Calibri"/>
        <family val="2"/>
        <scheme val="minor"/>
      </rPr>
      <t>Oni Nothic</t>
    </r>
    <r>
      <rPr>
        <sz val="11"/>
        <color theme="1"/>
        <rFont val="Calibri"/>
        <family val="2"/>
        <scheme val="minor"/>
      </rPr>
      <t xml:space="preserve"> regains 10hp</t>
    </r>
  </si>
  <si>
    <t>Enemy:</t>
  </si>
  <si>
    <t>Creature:</t>
  </si>
  <si>
    <t>Concentration Tracker</t>
  </si>
  <si>
    <t>Con Save</t>
  </si>
  <si>
    <t>Concentrating?</t>
  </si>
  <si>
    <t>Spell</t>
  </si>
  <si>
    <t>Ally Creatures</t>
  </si>
  <si>
    <t>Saving Throw:</t>
  </si>
  <si>
    <t>Column2</t>
  </si>
  <si>
    <t>AVG Damage</t>
  </si>
  <si>
    <t>ADV Damage</t>
  </si>
  <si>
    <t>DIS Damage</t>
  </si>
  <si>
    <t>Shocking Grasp</t>
  </si>
  <si>
    <t>Ray of Frost</t>
  </si>
  <si>
    <t>Firebolt</t>
  </si>
  <si>
    <t>Card</t>
  </si>
  <si>
    <t>Facade's Bonus</t>
  </si>
  <si>
    <t>% of Failing the Save:</t>
  </si>
  <si>
    <t xml:space="preserve">Normal + Bane + Foretelling Touch </t>
  </si>
  <si>
    <t>Ally Creature Attacks</t>
  </si>
  <si>
    <t>Move Name</t>
  </si>
  <si>
    <t>Bonus to Hit</t>
  </si>
  <si>
    <t>Save Type</t>
  </si>
  <si>
    <t>Attack Roll or Save</t>
  </si>
  <si>
    <t>Conditions</t>
  </si>
  <si>
    <t>Mind Sliver</t>
  </si>
  <si>
    <t>Attack Roll</t>
  </si>
  <si>
    <t xml:space="preserve">Poisonous Touch (1st Attack) </t>
  </si>
  <si>
    <t>Bite (1st Attack)</t>
  </si>
  <si>
    <t>Bonus # Dice</t>
  </si>
  <si>
    <t>Bonus Damage Dice</t>
  </si>
  <si>
    <t>Secondary Save Type</t>
  </si>
  <si>
    <t>Secondary Save DC</t>
  </si>
  <si>
    <t>Poisoned</t>
  </si>
  <si>
    <t>MammothGore</t>
  </si>
  <si>
    <t>MammothStomp</t>
  </si>
  <si>
    <t>Animated BreathSlam</t>
  </si>
  <si>
    <t>Fire ElementalTouch</t>
  </si>
  <si>
    <t>Elder Giant LizardBite</t>
  </si>
  <si>
    <t>Elder Giant LizardTail</t>
  </si>
  <si>
    <t>BrontosaurusStomp</t>
  </si>
  <si>
    <t>BrontosaurusTail</t>
  </si>
  <si>
    <t>Earth ElementalSlam</t>
  </si>
  <si>
    <t>Giant Coral SnakeBite</t>
  </si>
  <si>
    <t>Stunned</t>
  </si>
  <si>
    <t>Vine Staff</t>
  </si>
  <si>
    <t>Ghost (CR 16)</t>
  </si>
  <si>
    <t>Shadow Spear</t>
  </si>
  <si>
    <t>Blind, Restrained</t>
  </si>
  <si>
    <t>Claw</t>
  </si>
  <si>
    <t>Rotting Gaze</t>
  </si>
  <si>
    <t>Unarmed Strike</t>
  </si>
  <si>
    <t>Grappled</t>
  </si>
  <si>
    <t>Number</t>
  </si>
  <si>
    <t>Move Number</t>
  </si>
  <si>
    <t xml:space="preserve">Number </t>
  </si>
  <si>
    <t>% Creature Fails</t>
  </si>
  <si>
    <t>% Creature Fails w/ ADV</t>
  </si>
  <si>
    <t>% Creature Fails with DIS</t>
  </si>
  <si>
    <t>Normal Roll Needed to Hit</t>
  </si>
  <si>
    <t>Highest Roll to Fail</t>
  </si>
  <si>
    <t>ADV Roll Needed to Hit</t>
  </si>
  <si>
    <t>ADV Highest Roll to Fail</t>
  </si>
  <si>
    <t>DIS Roll Needed to Hit</t>
  </si>
  <si>
    <t>DIS Highest Roll to Fail</t>
  </si>
  <si>
    <t>Preparations</t>
  </si>
  <si>
    <t>Reasoning</t>
  </si>
  <si>
    <t>Cast an extended Mind Blank on the Neothelid</t>
  </si>
  <si>
    <t>Neothelid can swallow as many Mind Flayers as needed because it'll now be immune to psychic damage</t>
  </si>
  <si>
    <t>Hours Before the Raid</t>
  </si>
  <si>
    <t>Vampire Spectator activates an Extended Glyph of Warding (Tenser's Transformation)</t>
  </si>
  <si>
    <t>Increases his AC from 16 to 21</t>
  </si>
  <si>
    <t>Get the Vampire Spectator plate armor and a shield</t>
  </si>
  <si>
    <t>Get the Nothic Oni plate armor</t>
  </si>
  <si>
    <t>Increases his AC from 17 to 19</t>
  </si>
  <si>
    <t>Increases her AC to 18</t>
  </si>
  <si>
    <t>Get the Archdruid a shield Glyph of Warding (Mage Armor)</t>
  </si>
  <si>
    <t>Questions for Ashwin:</t>
  </si>
  <si>
    <t>Which interpretation of Mirage Arcane is he using?</t>
  </si>
  <si>
    <t>How much would armor for Ki-rin, Neothelid, and Oni cost and be effective?</t>
  </si>
  <si>
    <t>How much would plate armor cost for Ki-rin, Vampire Spectator, Neothelid, and Oni</t>
  </si>
  <si>
    <t>How much would shields cost for Vampire Spellcaster, Drow Arachnomancer, Gloomweaver, Conclave Dryad, Neothelid, Oni, Ghost, Gallows Speaker, and Rakshasa</t>
  </si>
  <si>
    <t>Would shields for Large, Huge, and Gargantuan creatures provide 1/2 or 3/4 cover for medium creatures?</t>
  </si>
  <si>
    <t>Cast an extended Foresight on the Vampire Spectator</t>
  </si>
  <si>
    <t>If I made an illusory black hole and then made it real what would happen?</t>
  </si>
  <si>
    <t>Scouting Plan: cast nondetection on the Archdruid; wildshape into Invisible Stalker; then cast Project Image into the Mind Flayer Colony</t>
  </si>
  <si>
    <t>Cast Mirage Arcane</t>
  </si>
  <si>
    <t>to make the area big enough for all of my creatures and creates terrain beneficial for our side</t>
  </si>
  <si>
    <t>Cast an extended Gift of Alacrity on Façade</t>
  </si>
  <si>
    <t>All Simulacrums act on her turn and thus increasing her initiative allows us to take control of the field</t>
  </si>
  <si>
    <t>Could I Dominate Person a catatonic body?</t>
  </si>
  <si>
    <t>MammothTrampling Charge</t>
  </si>
  <si>
    <t>Elder Giant LizardTail Slap</t>
  </si>
  <si>
    <t>BrontosaurusStomp Knockdown</t>
  </si>
  <si>
    <t>Giant Coral SnakePoison</t>
  </si>
  <si>
    <t>Vine StaffWrap</t>
  </si>
  <si>
    <t>Bite Poison</t>
  </si>
  <si>
    <t>Poisoned, Paralyzed</t>
  </si>
  <si>
    <t>Swallow</t>
  </si>
  <si>
    <t>Confusion Ray</t>
  </si>
  <si>
    <t>Paralyzing Ray</t>
  </si>
  <si>
    <t>Paralyzed</t>
  </si>
  <si>
    <t>Fear Ray</t>
  </si>
  <si>
    <t>Frightened</t>
  </si>
  <si>
    <t>Wounding Ray</t>
  </si>
  <si>
    <t xml:space="preserve">Normal </t>
  </si>
  <si>
    <t>XP</t>
  </si>
  <si>
    <t>Total XP</t>
  </si>
  <si>
    <t>Beholder</t>
  </si>
  <si>
    <t># of Boons</t>
  </si>
  <si>
    <t>Boons:</t>
  </si>
  <si>
    <t>Drow Inquisitor</t>
  </si>
  <si>
    <t>Yuan-ti Anathema</t>
  </si>
  <si>
    <t>Yuan-ti Abomination</t>
  </si>
  <si>
    <t>Yuan-ti Pit Master</t>
  </si>
  <si>
    <t>Yuan-ti Nightmare Speaker</t>
  </si>
  <si>
    <t>Yuan-ti Mind Whisperer</t>
  </si>
  <si>
    <t>Yuan-ti Priest</t>
  </si>
  <si>
    <t>Yuan-ti Malison</t>
  </si>
  <si>
    <t>Yuan-ti Broodguard</t>
  </si>
  <si>
    <t>Yuan-ti Pureblood</t>
  </si>
  <si>
    <t>Lich</t>
  </si>
  <si>
    <t>Skeleton</t>
  </si>
  <si>
    <t>Zombie</t>
  </si>
  <si>
    <t>Ghast</t>
  </si>
  <si>
    <t>Mummy</t>
  </si>
  <si>
    <t>Wight</t>
  </si>
  <si>
    <t>Shadow</t>
  </si>
  <si>
    <t>Vampire Spellcaster + Spectator</t>
  </si>
  <si>
    <t>XP Tracker</t>
  </si>
  <si>
    <t>Intellect Devourer</t>
  </si>
  <si>
    <t>2 Unarmed Strikes</t>
  </si>
  <si>
    <t>3 Unarmed Strikes (Haste)</t>
  </si>
  <si>
    <t>3 Unarmed Strikes (Tenser's Transformation)</t>
  </si>
  <si>
    <t>Unarmed Strike (Tenser's Transformation)</t>
  </si>
  <si>
    <t>Buffs</t>
  </si>
  <si>
    <t>AC Bonus</t>
  </si>
  <si>
    <t>Haste</t>
  </si>
  <si>
    <t>Active</t>
  </si>
  <si>
    <t>Tasha's Otherworldly Guise</t>
  </si>
  <si>
    <t>Warding Bond</t>
  </si>
  <si>
    <t>Applied AC Bonus</t>
  </si>
  <si>
    <r>
      <t xml:space="preserve">Roll for Recharge Abilities: </t>
    </r>
    <r>
      <rPr>
        <sz val="11"/>
        <color theme="1"/>
        <rFont val="Calibri"/>
        <family val="2"/>
        <scheme val="minor"/>
      </rPr>
      <t xml:space="preserve">Surpress Magic, Web, Possession, Acid Breath, </t>
    </r>
  </si>
  <si>
    <t>Enemy Creature Attacks</t>
  </si>
  <si>
    <t>Extract Brain</t>
  </si>
  <si>
    <t>Mind Blast</t>
  </si>
  <si>
    <t>Grappled; Stunned</t>
  </si>
  <si>
    <t>Dominate Monster</t>
  </si>
  <si>
    <t>Tentacle</t>
  </si>
  <si>
    <t>Psionic Anchor</t>
  </si>
  <si>
    <t>Feeblemind</t>
  </si>
  <si>
    <t>Aversion Ray</t>
  </si>
  <si>
    <t>Psychic Ray</t>
  </si>
  <si>
    <t>Slowing Ray</t>
  </si>
  <si>
    <t>Stunning Ray</t>
  </si>
  <si>
    <t>Telekinetic Ray</t>
  </si>
  <si>
    <t>Grappled; Restrained</t>
  </si>
  <si>
    <t>% Hit</t>
  </si>
  <si>
    <t>% Fail</t>
  </si>
  <si>
    <t>Chilling Grasp</t>
  </si>
  <si>
    <t>Arcane Bolt</t>
  </si>
  <si>
    <t>Paralyzing Touch</t>
  </si>
  <si>
    <t>Claw (Wounded Fury)</t>
  </si>
  <si>
    <t>Suggestion</t>
  </si>
  <si>
    <t>Dominate Person</t>
  </si>
  <si>
    <t>Half Cover</t>
  </si>
  <si>
    <t>3/4 Cover</t>
  </si>
  <si>
    <t>Archdruid Change Shapes into a Chwinga and bestows a Supernatural Gift twice per day</t>
  </si>
  <si>
    <t>Need as many Charms as possible on creatures</t>
  </si>
  <si>
    <t>Boons</t>
  </si>
  <si>
    <t>Strength Bonus</t>
  </si>
  <si>
    <t>Constitution Bonus</t>
  </si>
  <si>
    <t>Intelligence Bonus</t>
  </si>
  <si>
    <t>Wisdom Bonus</t>
  </si>
  <si>
    <t>Charisma Bonus</t>
  </si>
  <si>
    <t>Baphomet</t>
  </si>
  <si>
    <t>Demogorgon</t>
  </si>
  <si>
    <t>Fraz-Urb'luu</t>
  </si>
  <si>
    <t>Graz'zt</t>
  </si>
  <si>
    <t>Orcus</t>
  </si>
  <si>
    <t>Blessing of Health</t>
  </si>
  <si>
    <t>Blessing of Understanding</t>
  </si>
  <si>
    <t>Dark Gift of Zantras</t>
  </si>
  <si>
    <t>Dim</t>
  </si>
  <si>
    <t>Steed</t>
  </si>
  <si>
    <t>Mount</t>
  </si>
  <si>
    <t>Shadowstaff</t>
  </si>
  <si>
    <t>Smoke</t>
  </si>
  <si>
    <t>Monk</t>
  </si>
  <si>
    <t>Ranger</t>
  </si>
  <si>
    <t>Craftsman</t>
  </si>
  <si>
    <t>Unarmored Strike</t>
  </si>
  <si>
    <t>Unarmed Strike + Stunning Strike</t>
  </si>
  <si>
    <t>Shadowstaff + Stunning Strike</t>
  </si>
  <si>
    <t>Smoke Bomb Boomerang</t>
  </si>
  <si>
    <t>Blind</t>
  </si>
  <si>
    <t>Grandfather</t>
  </si>
  <si>
    <t>Allure</t>
  </si>
  <si>
    <t>Ezra</t>
  </si>
  <si>
    <t>Façade</t>
  </si>
  <si>
    <t>Fovo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</si>
</sst>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_(* #,##0_);_(* \(#,##0\);_(* &quot;-&quot;??_);_(@_)"/>
  </numFmts>
  <fonts count="10" x14ac:knownFonts="1">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8"/>
      <name val="Calibri"/>
      <family val="2"/>
      <scheme val="minor"/>
    </font>
    <font>
      <strike/>
      <sz val="11"/>
      <color theme="1"/>
      <name val="Calibri"/>
      <family val="2"/>
      <scheme val="minor"/>
    </font>
    <font>
      <i/>
      <sz val="11"/>
      <color theme="1"/>
      <name val="Calibri"/>
      <family val="2"/>
      <scheme val="minor"/>
    </font>
    <font>
      <b/>
      <sz val="11"/>
      <color theme="0"/>
      <name val="Calibri"/>
      <family val="2"/>
      <scheme val="minor"/>
    </font>
    <font>
      <i/>
      <sz val="11"/>
      <color rgb="FF7F7F7F"/>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rgb="FFFFFF0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FFCC"/>
      </patternFill>
    </fill>
    <fill>
      <patternFill patternType="solid">
        <fgColor theme="4"/>
        <bgColor theme="4"/>
      </patternFill>
    </fill>
    <fill>
      <patternFill patternType="solid">
        <fgColor theme="4" tint="0.79998168889431442"/>
        <bgColor theme="4" tint="0.79998168889431442"/>
      </patternFill>
    </fill>
    <fill>
      <patternFill patternType="solid">
        <fgColor rgb="FFA5A5A5"/>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bottom style="thin">
        <color theme="4" tint="0.39997558519241921"/>
      </bottom>
      <diagonal/>
    </border>
    <border>
      <left style="thin">
        <color rgb="FF7F7F7F"/>
      </left>
      <right style="thin">
        <color rgb="FF7F7F7F"/>
      </right>
      <top style="thin">
        <color rgb="FF7F7F7F"/>
      </top>
      <bottom/>
      <diagonal/>
    </border>
  </borders>
  <cellStyleXfs count="8">
    <xf numFmtId="0" fontId="0" fillId="0" borderId="0"/>
    <xf numFmtId="9" fontId="1" fillId="0" borderId="0" applyFont="0" applyFill="0" applyBorder="0" applyAlignment="0" applyProtection="0"/>
    <xf numFmtId="0" fontId="2" fillId="2" borderId="1" applyNumberFormat="0" applyAlignment="0" applyProtection="0"/>
    <xf numFmtId="0" fontId="3" fillId="3" borderId="1" applyNumberFormat="0" applyAlignment="0" applyProtection="0"/>
    <xf numFmtId="0" fontId="1" fillId="9" borderId="2" applyNumberFormat="0" applyFont="0" applyAlignment="0" applyProtection="0"/>
    <xf numFmtId="0" fontId="9" fillId="0" borderId="0" applyNumberFormat="0" applyFill="0" applyBorder="0" applyAlignment="0" applyProtection="0"/>
    <xf numFmtId="0" fontId="8" fillId="12" borderId="10" applyNumberFormat="0" applyAlignment="0" applyProtection="0"/>
    <xf numFmtId="43" fontId="1" fillId="0" borderId="0" applyFont="0" applyFill="0" applyBorder="0" applyAlignment="0" applyProtection="0"/>
  </cellStyleXfs>
  <cellXfs count="60">
    <xf numFmtId="0" fontId="0" fillId="0" borderId="0" xfId="0"/>
    <xf numFmtId="0" fontId="4" fillId="0" borderId="0" xfId="0" applyFont="1"/>
    <xf numFmtId="0" fontId="0" fillId="0" borderId="0" xfId="0" applyNumberFormat="1"/>
    <xf numFmtId="0" fontId="0" fillId="0" borderId="0" xfId="0" applyAlignment="1">
      <alignment vertical="top" wrapText="1"/>
    </xf>
    <xf numFmtId="0" fontId="0" fillId="0" borderId="0" xfId="0" applyAlignment="1">
      <alignment vertical="top"/>
    </xf>
    <xf numFmtId="0" fontId="6" fillId="0" borderId="0" xfId="0" applyNumberFormat="1" applyFont="1"/>
    <xf numFmtId="0" fontId="6" fillId="0" borderId="0" xfId="0" applyFont="1"/>
    <xf numFmtId="0" fontId="0" fillId="0" borderId="0" xfId="0" applyNumberFormat="1" applyFont="1"/>
    <xf numFmtId="0" fontId="0" fillId="0" borderId="0" xfId="0" applyFont="1"/>
    <xf numFmtId="0" fontId="2" fillId="2" borderId="1" xfId="2"/>
    <xf numFmtId="0" fontId="3" fillId="3" borderId="1" xfId="3"/>
    <xf numFmtId="1" fontId="0" fillId="0" borderId="0" xfId="0" applyNumberFormat="1"/>
    <xf numFmtId="1" fontId="3" fillId="3" borderId="1" xfId="3" applyNumberFormat="1"/>
    <xf numFmtId="0" fontId="7" fillId="0" borderId="0" xfId="0" applyFont="1"/>
    <xf numFmtId="0" fontId="4" fillId="0" borderId="0" xfId="0" applyFont="1" applyFill="1" applyBorder="1"/>
    <xf numFmtId="0" fontId="0" fillId="4" borderId="0" xfId="0" applyFill="1"/>
    <xf numFmtId="0" fontId="0" fillId="5" borderId="0" xfId="0" applyFill="1"/>
    <xf numFmtId="0" fontId="0" fillId="6" borderId="0" xfId="0" applyFill="1"/>
    <xf numFmtId="0" fontId="0" fillId="0" borderId="0" xfId="0" applyFill="1"/>
    <xf numFmtId="0" fontId="0" fillId="7" borderId="0" xfId="0" applyFill="1"/>
    <xf numFmtId="0" fontId="0" fillId="8" borderId="0" xfId="0" applyFill="1"/>
    <xf numFmtId="9" fontId="0" fillId="0" borderId="0" xfId="1" applyFont="1"/>
    <xf numFmtId="1" fontId="0" fillId="0" borderId="0" xfId="1" applyNumberFormat="1" applyFont="1"/>
    <xf numFmtId="10" fontId="0" fillId="0" borderId="0" xfId="1" applyNumberFormat="1" applyFont="1"/>
    <xf numFmtId="0" fontId="0" fillId="11" borderId="3" xfId="0" applyFont="1" applyFill="1" applyBorder="1"/>
    <xf numFmtId="0" fontId="0" fillId="11" borderId="4" xfId="0" applyFont="1" applyFill="1" applyBorder="1"/>
    <xf numFmtId="0" fontId="0" fillId="0" borderId="3" xfId="0" applyFont="1" applyBorder="1"/>
    <xf numFmtId="0" fontId="0" fillId="0" borderId="4" xfId="0" applyFont="1" applyBorder="1"/>
    <xf numFmtId="164" fontId="0" fillId="0" borderId="0" xfId="1" applyNumberFormat="1" applyFont="1"/>
    <xf numFmtId="0" fontId="0" fillId="0" borderId="5" xfId="0" applyBorder="1"/>
    <xf numFmtId="0" fontId="0" fillId="0" borderId="6" xfId="0" applyBorder="1"/>
    <xf numFmtId="0" fontId="0" fillId="0" borderId="7" xfId="0" applyBorder="1"/>
    <xf numFmtId="0" fontId="8" fillId="10" borderId="8" xfId="0" applyFont="1" applyFill="1" applyBorder="1"/>
    <xf numFmtId="0" fontId="8" fillId="10" borderId="9" xfId="0" applyFont="1" applyFill="1" applyBorder="1"/>
    <xf numFmtId="0" fontId="3" fillId="3" borderId="1" xfId="3" applyAlignment="1">
      <alignment horizontal="right"/>
    </xf>
    <xf numFmtId="0" fontId="0" fillId="9" borderId="2" xfId="4" applyFont="1"/>
    <xf numFmtId="0" fontId="9" fillId="0" borderId="0" xfId="5"/>
    <xf numFmtId="0" fontId="8" fillId="12" borderId="10" xfId="6"/>
    <xf numFmtId="0" fontId="0" fillId="0" borderId="0" xfId="0" applyBorder="1"/>
    <xf numFmtId="0" fontId="0" fillId="0" borderId="11" xfId="0" applyFont="1" applyBorder="1"/>
    <xf numFmtId="0" fontId="0" fillId="0" borderId="12" xfId="0" applyFont="1" applyBorder="1"/>
    <xf numFmtId="0" fontId="8" fillId="10" borderId="13" xfId="0" applyFont="1" applyFill="1" applyBorder="1"/>
    <xf numFmtId="0" fontId="0" fillId="0" borderId="0" xfId="0" quotePrefix="1"/>
    <xf numFmtId="0" fontId="0" fillId="0" borderId="0" xfId="0" applyFont="1" applyBorder="1"/>
    <xf numFmtId="0" fontId="0" fillId="0" borderId="0" xfId="0" quotePrefix="1" applyNumberFormat="1" applyAlignment="1">
      <alignment horizontal="left"/>
    </xf>
    <xf numFmtId="0" fontId="0" fillId="0" borderId="0" xfId="0" applyNumberFormat="1" applyAlignment="1">
      <alignment horizontal="left"/>
    </xf>
    <xf numFmtId="0" fontId="0" fillId="0" borderId="0" xfId="0" applyAlignment="1">
      <alignment horizontal="left"/>
    </xf>
    <xf numFmtId="10" fontId="0" fillId="0" borderId="0" xfId="0" applyNumberFormat="1"/>
    <xf numFmtId="9" fontId="0" fillId="0" borderId="0" xfId="0" applyNumberFormat="1"/>
    <xf numFmtId="2" fontId="0" fillId="0" borderId="0" xfId="0" applyNumberFormat="1"/>
    <xf numFmtId="0" fontId="4" fillId="0" borderId="0" xfId="0" applyFont="1" applyBorder="1"/>
    <xf numFmtId="10" fontId="3" fillId="3" borderId="1" xfId="3" quotePrefix="1" applyNumberFormat="1"/>
    <xf numFmtId="165" fontId="0" fillId="0" borderId="0" xfId="7" applyNumberFormat="1" applyFont="1"/>
    <xf numFmtId="0" fontId="0" fillId="0" borderId="0" xfId="0" applyNumberFormat="1" applyFont="1" applyBorder="1"/>
    <xf numFmtId="0" fontId="2" fillId="2" borderId="14" xfId="2" applyBorder="1"/>
    <xf numFmtId="0" fontId="0" fillId="0" borderId="0" xfId="0" applyNumberFormat="1" applyBorder="1"/>
    <xf numFmtId="0" fontId="4" fillId="0" borderId="6" xfId="0" applyFont="1" applyBorder="1"/>
    <xf numFmtId="9" fontId="0" fillId="0" borderId="0" xfId="1" quotePrefix="1" applyFont="1"/>
    <xf numFmtId="9" fontId="0" fillId="0" borderId="0" xfId="1" applyNumberFormat="1" applyFont="1"/>
    <xf numFmtId="16" fontId="0" fillId="0" borderId="0" xfId="0" applyNumberFormat="1" applyBorder="1"/>
  </cellXfs>
  <cellStyles count="8">
    <cellStyle name="Calculation" xfId="3" builtinId="22"/>
    <cellStyle name="Check Cell" xfId="6" builtinId="23"/>
    <cellStyle name="Comma" xfId="7" builtinId="3"/>
    <cellStyle name="Explanatory Text" xfId="5" builtinId="53"/>
    <cellStyle name="Input" xfId="2" builtinId="20"/>
    <cellStyle name="Normal" xfId="0" builtinId="0"/>
    <cellStyle name="Note" xfId="4" builtinId="10"/>
    <cellStyle name="Percent" xfId="1" builtinId="5"/>
  </cellStyles>
  <dxfs count="300">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2D050"/>
      </font>
    </dxf>
    <dxf>
      <fill>
        <patternFill>
          <bgColor rgb="FF00B0F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2D050"/>
      </font>
    </dxf>
    <dxf>
      <fill>
        <patternFill>
          <bgColor rgb="FF00B0F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0" formatCode="General"/>
    </dxf>
    <dxf>
      <numFmt numFmtId="0" formatCode="General"/>
    </dxf>
    <dxf>
      <font>
        <b val="0"/>
        <i val="0"/>
        <strike/>
        <outline val="0"/>
        <shadow val="0"/>
        <u val="none"/>
        <vertAlign val="baseline"/>
        <sz val="11"/>
        <color theme="1"/>
        <name val="Calibri"/>
        <family val="2"/>
        <scheme val="minor"/>
      </font>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1" formatCode="0"/>
    </dxf>
    <dxf>
      <numFmt numFmtId="14" formatCode="0.00%"/>
    </dxf>
    <dxf>
      <font>
        <b val="0"/>
        <i val="0"/>
        <strike val="0"/>
        <condense val="0"/>
        <extend val="0"/>
        <outline val="0"/>
        <shadow val="0"/>
        <u val="none"/>
        <vertAlign val="baseline"/>
        <sz val="11"/>
        <color theme="1"/>
        <name val="Calibri"/>
        <family val="2"/>
        <scheme val="minor"/>
      </font>
      <numFmt numFmtId="1" formatCode="0"/>
    </dxf>
    <dxf>
      <numFmt numFmtId="14" formatCode="0.00%"/>
    </dxf>
    <dxf>
      <font>
        <b val="0"/>
        <i val="0"/>
        <strike val="0"/>
        <condense val="0"/>
        <extend val="0"/>
        <outline val="0"/>
        <shadow val="0"/>
        <u val="none"/>
        <vertAlign val="baseline"/>
        <sz val="11"/>
        <color theme="1"/>
        <name val="Calibri"/>
        <family val="2"/>
        <scheme val="minor"/>
      </font>
      <numFmt numFmtId="1" formatCode="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font>
        <b/>
        <i val="0"/>
        <strike val="0"/>
        <condense val="0"/>
        <extend val="0"/>
        <outline val="0"/>
        <shadow val="0"/>
        <u val="none"/>
        <vertAlign val="baseline"/>
        <sz val="11"/>
        <color theme="1"/>
        <name val="Calibri"/>
        <family val="2"/>
        <scheme val="minor"/>
      </font>
    </dxf>
    <dxf>
      <numFmt numFmtId="1" formatCode="0"/>
    </dxf>
    <dxf>
      <numFmt numFmtId="14" formatCode="0.00%"/>
    </dxf>
    <dxf>
      <font>
        <b val="0"/>
        <i val="0"/>
        <strike val="0"/>
        <condense val="0"/>
        <extend val="0"/>
        <outline val="0"/>
        <shadow val="0"/>
        <u val="none"/>
        <vertAlign val="baseline"/>
        <sz val="11"/>
        <color theme="1"/>
        <name val="Calibri"/>
        <family val="2"/>
        <scheme val="minor"/>
      </font>
      <numFmt numFmtId="1" formatCode="0"/>
    </dxf>
    <dxf>
      <numFmt numFmtId="14" formatCode="0.00%"/>
    </dxf>
    <dxf>
      <font>
        <b val="0"/>
        <i val="0"/>
        <strike val="0"/>
        <condense val="0"/>
        <extend val="0"/>
        <outline val="0"/>
        <shadow val="0"/>
        <u val="none"/>
        <vertAlign val="baseline"/>
        <sz val="11"/>
        <color theme="1"/>
        <name val="Calibri"/>
        <family val="2"/>
        <scheme val="minor"/>
      </font>
      <numFmt numFmtId="1" formatCode="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font>
        <b/>
        <i val="0"/>
        <strike val="0"/>
        <condense val="0"/>
        <extend val="0"/>
        <outline val="0"/>
        <shadow val="0"/>
        <u val="none"/>
        <vertAlign val="baseline"/>
        <sz val="11"/>
        <color theme="1"/>
        <name val="Calibri"/>
        <family val="2"/>
        <scheme val="minor"/>
      </font>
    </dxf>
    <dxf>
      <numFmt numFmtId="1" formatCode="0"/>
    </dxf>
    <dxf>
      <numFmt numFmtId="14" formatCode="0.00%"/>
    </dxf>
    <dxf>
      <font>
        <b val="0"/>
        <i val="0"/>
        <strike val="0"/>
        <condense val="0"/>
        <extend val="0"/>
        <outline val="0"/>
        <shadow val="0"/>
        <u val="none"/>
        <vertAlign val="baseline"/>
        <sz val="11"/>
        <color theme="1"/>
        <name val="Calibri"/>
        <family val="2"/>
        <scheme val="minor"/>
      </font>
      <numFmt numFmtId="1" formatCode="0"/>
    </dxf>
    <dxf>
      <numFmt numFmtId="14" formatCode="0.00%"/>
    </dxf>
    <dxf>
      <font>
        <b val="0"/>
        <i val="0"/>
        <strike val="0"/>
        <condense val="0"/>
        <extend val="0"/>
        <outline val="0"/>
        <shadow val="0"/>
        <u val="none"/>
        <vertAlign val="baseline"/>
        <sz val="11"/>
        <color theme="1"/>
        <name val="Calibri"/>
        <family val="2"/>
        <scheme val="minor"/>
      </font>
      <numFmt numFmtId="1" formatCode="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13" formatCode="0%"/>
    </dxf>
    <dxf>
      <numFmt numFmtId="0" formatCode="General"/>
    </dxf>
    <dxf>
      <numFmt numFmtId="13" formatCode="0%"/>
    </dxf>
    <dxf>
      <numFmt numFmtId="13" formatCode="0%"/>
    </dxf>
    <dxf>
      <numFmt numFmtId="0" formatCode="General"/>
    </dxf>
    <dxf>
      <numFmt numFmtId="165" formatCode="_(* #,##0_);_(* \(#,##0\);_(* &quot;-&quot;??_);_(@_)"/>
    </dxf>
    <dxf>
      <numFmt numFmtId="165" formatCode="_(* #,##0_);_(* \(#,##0\);_(* &quot;-&quot;??_);_(@_)"/>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family val="2"/>
        <scheme val="minor"/>
      </font>
    </dxf>
    <dxf>
      <numFmt numFmtId="0" formatCode="General"/>
    </dxf>
    <dxf>
      <numFmt numFmtId="13" formatCode="0%"/>
    </dxf>
    <dxf>
      <numFmt numFmtId="0" formatCode="General"/>
    </dxf>
    <dxf>
      <numFmt numFmtId="13" formatCode="0%"/>
    </dxf>
    <dxf>
      <numFmt numFmtId="0" formatCode="General"/>
    </dxf>
    <dxf>
      <numFmt numFmtId="13" formatCode="0%"/>
    </dxf>
    <dxf>
      <numFmt numFmtId="0" formatCode="General"/>
    </dxf>
    <dxf>
      <alignment horizontal="left" vertical="bottom" textRotation="0" wrapText="0" indent="0" justifyLastLine="0" shrinkToFit="0" readingOrder="0"/>
    </dxf>
    <dxf>
      <numFmt numFmtId="2" formatCode="0.00"/>
    </dxf>
    <dxf>
      <numFmt numFmtId="14" formatCode="0.00%"/>
    </dxf>
    <dxf>
      <numFmt numFmtId="2" formatCode="0.00"/>
    </dxf>
    <dxf>
      <numFmt numFmtId="14" formatCode="0.00%"/>
    </dxf>
    <dxf>
      <numFmt numFmtId="2" formatCode="0.00"/>
    </dxf>
    <dxf>
      <numFmt numFmtId="14" formatCode="0.00%"/>
    </dxf>
    <dxf>
      <numFmt numFmtId="0" formatCode="General"/>
    </dxf>
    <dxf>
      <numFmt numFmtId="0" formatCode="Genera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1" formatCode="0"/>
    </dxf>
    <dxf>
      <numFmt numFmtId="164" formatCode="0.0%"/>
    </dxf>
    <dxf>
      <numFmt numFmtId="1" formatCode="0"/>
    </dxf>
    <dxf>
      <numFmt numFmtId="1" formatCode="0"/>
    </dxf>
    <dxf>
      <font>
        <b val="0"/>
      </font>
    </dxf>
    <dxf>
      <font>
        <b/>
        <i val="0"/>
        <strike val="0"/>
        <condense val="0"/>
        <extend val="0"/>
        <outline val="0"/>
        <shadow val="0"/>
        <u val="none"/>
        <vertAlign val="baseline"/>
        <sz val="11"/>
        <color theme="1"/>
        <name val="Calibri"/>
        <family val="2"/>
        <scheme val="minor"/>
      </font>
    </dxf>
    <dxf>
      <numFmt numFmtId="13" formatCode="0%"/>
    </dxf>
    <dxf>
      <numFmt numFmtId="13" formatCode="0%"/>
    </dxf>
    <dxf>
      <numFmt numFmtId="13" formatCode="0%"/>
    </dxf>
    <dxf>
      <numFmt numFmtId="0" formatCode="General"/>
    </dxf>
    <dxf>
      <numFmt numFmtId="13" formatCode="0%"/>
    </dxf>
    <dxf>
      <numFmt numFmtId="13" formatCode="0%"/>
    </dxf>
    <dxf>
      <numFmt numFmtId="0" formatCode="General"/>
    </dxf>
    <dxf>
      <numFmt numFmtId="165" formatCode="_(* #,##0_);_(* \(#,##0\);_(* &quot;-&quot;??_);_(@_)"/>
    </dxf>
    <dxf>
      <numFmt numFmtId="165" formatCode="_(* #,##0_);_(* \(#,##0\);_(* &quot;-&quot;??_);_(@_)"/>
    </dxf>
    <dxf>
      <numFmt numFmtId="0" formatCode="General"/>
    </dxf>
    <dxf>
      <numFmt numFmtId="13" formatCode="0%"/>
    </dxf>
    <dxf>
      <numFmt numFmtId="0" formatCode="General"/>
    </dxf>
    <dxf>
      <numFmt numFmtId="13" formatCode="0%"/>
    </dxf>
    <dxf>
      <numFmt numFmtId="0" formatCode="General"/>
    </dxf>
    <dxf>
      <numFmt numFmtId="13" formatCode="0%"/>
    </dxf>
    <dxf>
      <numFmt numFmtId="0" formatCode="General"/>
    </dxf>
    <dxf>
      <alignment horizontal="left" vertical="bottom" textRotation="0" wrapText="0" indent="0" justifyLastLine="0" shrinkToFit="0" readingOrder="0"/>
    </dxf>
    <dxf>
      <numFmt numFmtId="2" formatCode="0.00"/>
    </dxf>
    <dxf>
      <numFmt numFmtId="14" formatCode="0.00%"/>
    </dxf>
    <dxf>
      <numFmt numFmtId="2" formatCode="0.00"/>
    </dxf>
    <dxf>
      <numFmt numFmtId="14" formatCode="0.00%"/>
    </dxf>
    <dxf>
      <numFmt numFmtId="2" formatCode="0.00"/>
    </dxf>
    <dxf>
      <numFmt numFmtId="14" formatCode="0.00%"/>
    </dxf>
    <dxf>
      <numFmt numFmtId="0" formatCode="General"/>
    </dxf>
    <dxf>
      <numFmt numFmtId="0" formatCode="Genera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
      <numFmt numFmtId="1" formatCode="0"/>
    </dxf>
    <dxf>
      <numFmt numFmtId="164" formatCode="0.0%"/>
    </dxf>
    <dxf>
      <numFmt numFmtId="1" formatCode="0"/>
    </dxf>
    <dxf>
      <numFmt numFmtId="1" formatCode="0"/>
    </dxf>
    <dxf>
      <font>
        <b val="0"/>
      </font>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14" formatCode="0.00%"/>
    </dxf>
    <dxf>
      <numFmt numFmtId="0" formatCode="General"/>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numFmt numFmtId="14" formatCode="0.00%"/>
    </dxf>
    <dxf>
      <font>
        <b val="0"/>
        <i val="0"/>
        <strike val="0"/>
        <condense val="0"/>
        <extend val="0"/>
        <outline val="0"/>
        <shadow val="0"/>
        <u val="none"/>
        <vertAlign val="baseline"/>
        <sz val="11"/>
        <color theme="1"/>
        <name val="Calibri"/>
        <family val="2"/>
        <scheme val="minor"/>
      </font>
      <numFmt numFmtId="14" formatCode="0.00%"/>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s>
  <tableStyles count="0" defaultTableStyle="TableStyleMedium2" defaultPivotStyle="PivotStyleLight16"/>
  <colors>
    <mruColors>
      <color rgb="FFD5802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2060"/>
              </a:solidFill>
              <a:ln w="19050">
                <a:solidFill>
                  <a:schemeClr val="lt1"/>
                </a:solidFill>
              </a:ln>
              <a:effectLst/>
            </c:spPr>
            <c:extLst>
              <c:ext xmlns:c16="http://schemas.microsoft.com/office/drawing/2014/chart" uri="{C3380CC4-5D6E-409C-BE32-E72D297353CC}">
                <c16:uniqueId val="{00000001-0739-4A57-BCF9-CCFBA97654CF}"/>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0739-4A57-BCF9-CCFBA97654CF}"/>
              </c:ext>
            </c:extLst>
          </c:dPt>
          <c:dPt>
            <c:idx val="2"/>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5-0739-4A57-BCF9-CCFBA97654CF}"/>
              </c:ext>
            </c:extLst>
          </c:dPt>
          <c:dPt>
            <c:idx val="3"/>
            <c:bubble3D val="0"/>
            <c:spPr>
              <a:solidFill>
                <a:srgbClr val="FF0000"/>
              </a:solidFill>
              <a:ln w="19050">
                <a:solidFill>
                  <a:schemeClr val="lt1"/>
                </a:solidFill>
              </a:ln>
              <a:effectLst/>
            </c:spPr>
            <c:extLst>
              <c:ext xmlns:c16="http://schemas.microsoft.com/office/drawing/2014/chart" uri="{C3380CC4-5D6E-409C-BE32-E72D297353CC}">
                <c16:uniqueId val="{00000007-0739-4A57-BCF9-CCFBA97654CF}"/>
              </c:ext>
            </c:extLst>
          </c:dPt>
          <c:dPt>
            <c:idx val="4"/>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9-0739-4A57-BCF9-CCFBA97654CF}"/>
              </c:ext>
            </c:extLst>
          </c:dPt>
          <c:dPt>
            <c:idx val="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B-0739-4A57-BCF9-CCFBA97654CF}"/>
              </c:ext>
            </c:extLst>
          </c:dPt>
          <c:dPt>
            <c:idx val="6"/>
            <c:bubble3D val="0"/>
            <c:spPr>
              <a:solidFill>
                <a:schemeClr val="tx2">
                  <a:lumMod val="75000"/>
                </a:schemeClr>
              </a:solidFill>
              <a:ln w="19050">
                <a:solidFill>
                  <a:schemeClr val="lt1"/>
                </a:solidFill>
              </a:ln>
              <a:effectLst/>
            </c:spPr>
            <c:extLst>
              <c:ext xmlns:c16="http://schemas.microsoft.com/office/drawing/2014/chart" uri="{C3380CC4-5D6E-409C-BE32-E72D297353CC}">
                <c16:uniqueId val="{0000000D-0739-4A57-BCF9-CCFBA97654CF}"/>
              </c:ext>
            </c:extLst>
          </c:dPt>
          <c:dPt>
            <c:idx val="7"/>
            <c:bubble3D val="0"/>
            <c:spPr>
              <a:solidFill>
                <a:srgbClr val="FF0000"/>
              </a:solidFill>
              <a:ln w="19050">
                <a:solidFill>
                  <a:schemeClr val="lt1"/>
                </a:solidFill>
              </a:ln>
              <a:effectLst/>
            </c:spPr>
            <c:extLst>
              <c:ext xmlns:c16="http://schemas.microsoft.com/office/drawing/2014/chart" uri="{C3380CC4-5D6E-409C-BE32-E72D297353CC}">
                <c16:uniqueId val="{0000000F-0739-4A57-BCF9-CCFBA97654CF}"/>
              </c:ext>
            </c:extLst>
          </c:dPt>
          <c:dPt>
            <c:idx val="8"/>
            <c:bubble3D val="0"/>
            <c:spPr>
              <a:solidFill>
                <a:schemeClr val="accent4"/>
              </a:solidFill>
              <a:ln w="19050">
                <a:solidFill>
                  <a:schemeClr val="lt1"/>
                </a:solidFill>
              </a:ln>
              <a:effectLst/>
            </c:spPr>
            <c:extLst>
              <c:ext xmlns:c16="http://schemas.microsoft.com/office/drawing/2014/chart" uri="{C3380CC4-5D6E-409C-BE32-E72D297353CC}">
                <c16:uniqueId val="{00000011-0739-4A57-BCF9-CCFBA97654CF}"/>
              </c:ext>
            </c:extLst>
          </c:dPt>
          <c:dPt>
            <c:idx val="9"/>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13-0739-4A57-BCF9-CCFBA97654CF}"/>
              </c:ext>
            </c:extLst>
          </c:dPt>
          <c:dPt>
            <c:idx val="1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15-0739-4A57-BCF9-CCFBA97654CF}"/>
              </c:ext>
            </c:extLst>
          </c:dPt>
          <c:dPt>
            <c:idx val="11"/>
            <c:bubble3D val="0"/>
            <c:spPr>
              <a:solidFill>
                <a:srgbClr val="FF0000"/>
              </a:solidFill>
              <a:ln w="19050">
                <a:solidFill>
                  <a:schemeClr val="lt1"/>
                </a:solidFill>
              </a:ln>
              <a:effectLst/>
            </c:spPr>
            <c:extLst>
              <c:ext xmlns:c16="http://schemas.microsoft.com/office/drawing/2014/chart" uri="{C3380CC4-5D6E-409C-BE32-E72D297353CC}">
                <c16:uniqueId val="{00000017-0739-4A57-BCF9-CCFBA97654CF}"/>
              </c:ext>
            </c:extLst>
          </c:dPt>
          <c:dPt>
            <c:idx val="12"/>
            <c:bubble3D val="0"/>
            <c:spPr>
              <a:solidFill>
                <a:srgbClr val="D5802B"/>
              </a:solidFill>
              <a:ln w="19050">
                <a:solidFill>
                  <a:schemeClr val="lt1"/>
                </a:solidFill>
              </a:ln>
              <a:effectLst/>
            </c:spPr>
            <c:extLst>
              <c:ext xmlns:c16="http://schemas.microsoft.com/office/drawing/2014/chart" uri="{C3380CC4-5D6E-409C-BE32-E72D297353CC}">
                <c16:uniqueId val="{00000019-0739-4A57-BCF9-CCFBA97654CF}"/>
              </c:ext>
            </c:extLst>
          </c:dPt>
          <c:dPt>
            <c:idx val="13"/>
            <c:bubble3D val="0"/>
            <c:spPr>
              <a:solidFill>
                <a:schemeClr val="bg2">
                  <a:lumMod val="25000"/>
                </a:schemeClr>
              </a:solidFill>
              <a:ln w="19050">
                <a:solidFill>
                  <a:schemeClr val="lt1"/>
                </a:solidFill>
              </a:ln>
              <a:effectLst/>
            </c:spPr>
            <c:extLst>
              <c:ext xmlns:c16="http://schemas.microsoft.com/office/drawing/2014/chart" uri="{C3380CC4-5D6E-409C-BE32-E72D297353CC}">
                <c16:uniqueId val="{0000001B-0739-4A57-BCF9-CCFBA97654CF}"/>
              </c:ext>
            </c:extLst>
          </c:dPt>
          <c:dLbls>
            <c:dLbl>
              <c:idx val="0"/>
              <c:dLblPos val="outEnd"/>
              <c:showLegendKey val="0"/>
              <c:showVal val="1"/>
              <c:showCatName val="1"/>
              <c:showSerName val="0"/>
              <c:showPercent val="0"/>
              <c:showBubbleSize val="0"/>
              <c:extLst>
                <c:ext xmlns:c15="http://schemas.microsoft.com/office/drawing/2012/chart" uri="{CE6537A1-D6FC-4f65-9D91-7224C49458BB}">
                  <c15:layout>
                    <c:manualLayout>
                      <c:w val="0.15763554701151006"/>
                      <c:h val="6.189064399303372E-2"/>
                    </c:manualLayout>
                  </c15:layout>
                </c:ext>
                <c:ext xmlns:c16="http://schemas.microsoft.com/office/drawing/2014/chart" uri="{C3380CC4-5D6E-409C-BE32-E72D297353CC}">
                  <c16:uniqueId val="{00000001-0739-4A57-BCF9-CCFBA97654CF}"/>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'Dim Dashboard'!$A$4:$A$17</c:f>
              <c:strCache>
                <c:ptCount val="3"/>
                <c:pt idx="0">
                  <c:v>Dim</c:v>
                </c:pt>
                <c:pt idx="1">
                  <c:v>Steed</c:v>
                </c:pt>
                <c:pt idx="2">
                  <c:v>Mount</c:v>
                </c:pt>
              </c:strCache>
            </c:strRef>
          </c:cat>
          <c:val>
            <c:numRef>
              <c:f>'Dim Dashboard'!$C$4:$C$17</c:f>
              <c:numCache>
                <c:formatCode>0</c:formatCode>
                <c:ptCount val="14"/>
                <c:pt idx="0">
                  <c:v>112</c:v>
                </c:pt>
                <c:pt idx="1">
                  <c:v>21</c:v>
                </c:pt>
                <c:pt idx="2">
                  <c:v>19</c:v>
                </c:pt>
              </c:numCache>
            </c:numRef>
          </c:val>
          <c:extLst>
            <c:ext xmlns:c16="http://schemas.microsoft.com/office/drawing/2014/chart" uri="{C3380CC4-5D6E-409C-BE32-E72D297353CC}">
              <c16:uniqueId val="{0000001C-0739-4A57-BCF9-CCFBA97654CF}"/>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2060"/>
              </a:solidFill>
              <a:ln w="19050">
                <a:solidFill>
                  <a:schemeClr val="lt1"/>
                </a:solidFill>
              </a:ln>
              <a:effectLst/>
            </c:spPr>
            <c:extLst>
              <c:ext xmlns:c16="http://schemas.microsoft.com/office/drawing/2014/chart" uri="{C3380CC4-5D6E-409C-BE32-E72D297353CC}">
                <c16:uniqueId val="{00000001-6848-47CA-B6D1-BE284C505202}"/>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7-6848-47CA-B6D1-BE284C505202}"/>
              </c:ext>
            </c:extLst>
          </c:dPt>
          <c:dPt>
            <c:idx val="2"/>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8-6848-47CA-B6D1-BE284C505202}"/>
              </c:ext>
            </c:extLst>
          </c:dPt>
          <c:dPt>
            <c:idx val="3"/>
            <c:bubble3D val="0"/>
            <c:spPr>
              <a:solidFill>
                <a:srgbClr val="FF0000"/>
              </a:solidFill>
              <a:ln w="19050">
                <a:solidFill>
                  <a:schemeClr val="lt1"/>
                </a:solidFill>
              </a:ln>
              <a:effectLst/>
            </c:spPr>
            <c:extLst>
              <c:ext xmlns:c16="http://schemas.microsoft.com/office/drawing/2014/chart" uri="{C3380CC4-5D6E-409C-BE32-E72D297353CC}">
                <c16:uniqueId val="{00000009-6848-47CA-B6D1-BE284C505202}"/>
              </c:ext>
            </c:extLst>
          </c:dPt>
          <c:dPt>
            <c:idx val="4"/>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A-6848-47CA-B6D1-BE284C505202}"/>
              </c:ext>
            </c:extLst>
          </c:dPt>
          <c:dPt>
            <c:idx val="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B-6848-47CA-B6D1-BE284C505202}"/>
              </c:ext>
            </c:extLst>
          </c:dPt>
          <c:dPt>
            <c:idx val="6"/>
            <c:bubble3D val="0"/>
            <c:spPr>
              <a:solidFill>
                <a:schemeClr val="tx2">
                  <a:lumMod val="75000"/>
                </a:schemeClr>
              </a:solidFill>
              <a:ln w="19050">
                <a:solidFill>
                  <a:schemeClr val="lt1"/>
                </a:solidFill>
              </a:ln>
              <a:effectLst/>
            </c:spPr>
            <c:extLst>
              <c:ext xmlns:c16="http://schemas.microsoft.com/office/drawing/2014/chart" uri="{C3380CC4-5D6E-409C-BE32-E72D297353CC}">
                <c16:uniqueId val="{0000000C-6848-47CA-B6D1-BE284C505202}"/>
              </c:ext>
            </c:extLst>
          </c:dPt>
          <c:dPt>
            <c:idx val="7"/>
            <c:bubble3D val="0"/>
            <c:spPr>
              <a:solidFill>
                <a:srgbClr val="FF0000"/>
              </a:solidFill>
              <a:ln w="19050">
                <a:solidFill>
                  <a:schemeClr val="lt1"/>
                </a:solidFill>
              </a:ln>
              <a:effectLst/>
            </c:spPr>
            <c:extLst>
              <c:ext xmlns:c16="http://schemas.microsoft.com/office/drawing/2014/chart" uri="{C3380CC4-5D6E-409C-BE32-E72D297353CC}">
                <c16:uniqueId val="{0000000D-6848-47CA-B6D1-BE284C505202}"/>
              </c:ext>
            </c:extLst>
          </c:dPt>
          <c:dPt>
            <c:idx val="8"/>
            <c:bubble3D val="0"/>
            <c:spPr>
              <a:solidFill>
                <a:schemeClr val="accent4"/>
              </a:solidFill>
              <a:ln w="19050">
                <a:solidFill>
                  <a:schemeClr val="lt1"/>
                </a:solidFill>
              </a:ln>
              <a:effectLst/>
            </c:spPr>
            <c:extLst>
              <c:ext xmlns:c16="http://schemas.microsoft.com/office/drawing/2014/chart" uri="{C3380CC4-5D6E-409C-BE32-E72D297353CC}">
                <c16:uniqueId val="{00000002-6848-47CA-B6D1-BE284C505202}"/>
              </c:ext>
            </c:extLst>
          </c:dPt>
          <c:dPt>
            <c:idx val="9"/>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3-6848-47CA-B6D1-BE284C505202}"/>
              </c:ext>
            </c:extLst>
          </c:dPt>
          <c:dPt>
            <c:idx val="1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4-6848-47CA-B6D1-BE284C505202}"/>
              </c:ext>
            </c:extLst>
          </c:dPt>
          <c:dPt>
            <c:idx val="11"/>
            <c:bubble3D val="0"/>
            <c:spPr>
              <a:solidFill>
                <a:srgbClr val="FF0000"/>
              </a:solidFill>
              <a:ln w="19050">
                <a:solidFill>
                  <a:schemeClr val="lt1"/>
                </a:solidFill>
              </a:ln>
              <a:effectLst/>
            </c:spPr>
            <c:extLst>
              <c:ext xmlns:c16="http://schemas.microsoft.com/office/drawing/2014/chart" uri="{C3380CC4-5D6E-409C-BE32-E72D297353CC}">
                <c16:uniqueId val="{0000000E-6848-47CA-B6D1-BE284C505202}"/>
              </c:ext>
            </c:extLst>
          </c:dPt>
          <c:dPt>
            <c:idx val="12"/>
            <c:bubble3D val="0"/>
            <c:spPr>
              <a:solidFill>
                <a:srgbClr val="D5802B"/>
              </a:solidFill>
              <a:ln w="19050">
                <a:solidFill>
                  <a:schemeClr val="lt1"/>
                </a:solidFill>
              </a:ln>
              <a:effectLst/>
            </c:spPr>
            <c:extLst>
              <c:ext xmlns:c16="http://schemas.microsoft.com/office/drawing/2014/chart" uri="{C3380CC4-5D6E-409C-BE32-E72D297353CC}">
                <c16:uniqueId val="{00000005-6848-47CA-B6D1-BE284C505202}"/>
              </c:ext>
            </c:extLst>
          </c:dPt>
          <c:dPt>
            <c:idx val="13"/>
            <c:bubble3D val="0"/>
            <c:spPr>
              <a:solidFill>
                <a:schemeClr val="bg2">
                  <a:lumMod val="25000"/>
                </a:schemeClr>
              </a:solidFill>
              <a:ln w="19050">
                <a:solidFill>
                  <a:schemeClr val="lt1"/>
                </a:solidFill>
              </a:ln>
              <a:effectLst/>
            </c:spPr>
            <c:extLst>
              <c:ext xmlns:c16="http://schemas.microsoft.com/office/drawing/2014/chart" uri="{C3380CC4-5D6E-409C-BE32-E72D297353CC}">
                <c16:uniqueId val="{00000006-6848-47CA-B6D1-BE284C505202}"/>
              </c:ext>
            </c:extLst>
          </c:dPt>
          <c:dLbls>
            <c:dLbl>
              <c:idx val="0"/>
              <c:dLblPos val="outEnd"/>
              <c:showLegendKey val="0"/>
              <c:showVal val="1"/>
              <c:showCatName val="1"/>
              <c:showSerName val="0"/>
              <c:showPercent val="0"/>
              <c:showBubbleSize val="0"/>
              <c:extLst>
                <c:ext xmlns:c15="http://schemas.microsoft.com/office/drawing/2012/chart" uri="{CE6537A1-D6FC-4f65-9D91-7224C49458BB}">
                  <c15:layout>
                    <c:manualLayout>
                      <c:w val="0.15763554701151006"/>
                      <c:h val="6.189064399303372E-2"/>
                    </c:manualLayout>
                  </c15:layout>
                </c:ext>
                <c:ext xmlns:c16="http://schemas.microsoft.com/office/drawing/2014/chart" uri="{C3380CC4-5D6E-409C-BE32-E72D297353CC}">
                  <c16:uniqueId val="{00000001-6848-47CA-B6D1-BE284C50520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'Facade Dashboard'!$A$4:$A$17</c:f>
              <c:strCache>
                <c:ptCount val="14"/>
                <c:pt idx="0">
                  <c:v>Arachnomancer</c:v>
                </c:pt>
                <c:pt idx="1">
                  <c:v>Archdruid</c:v>
                </c:pt>
                <c:pt idx="2">
                  <c:v>Conclave Dryad</c:v>
                </c:pt>
                <c:pt idx="3">
                  <c:v>Facade</c:v>
                </c:pt>
                <c:pt idx="4">
                  <c:v>Gallows Speaker</c:v>
                </c:pt>
                <c:pt idx="5">
                  <c:v>Ghost</c:v>
                </c:pt>
                <c:pt idx="6">
                  <c:v>Gloomweaver</c:v>
                </c:pt>
                <c:pt idx="7">
                  <c:v>Grunt</c:v>
                </c:pt>
                <c:pt idx="8">
                  <c:v>Ki-rin</c:v>
                </c:pt>
                <c:pt idx="9">
                  <c:v>Neothelid</c:v>
                </c:pt>
                <c:pt idx="10">
                  <c:v>Nothic Oni</c:v>
                </c:pt>
                <c:pt idx="11">
                  <c:v>Prime</c:v>
                </c:pt>
                <c:pt idx="12">
                  <c:v>Rakshasa</c:v>
                </c:pt>
                <c:pt idx="13">
                  <c:v>Vampire Spectator</c:v>
                </c:pt>
              </c:strCache>
            </c:strRef>
          </c:cat>
          <c:val>
            <c:numRef>
              <c:f>'Facade Dashboard'!$C$4:$C$17</c:f>
              <c:numCache>
                <c:formatCode>0</c:formatCode>
                <c:ptCount val="14"/>
                <c:pt idx="0">
                  <c:v>334</c:v>
                </c:pt>
                <c:pt idx="1">
                  <c:v>303.5</c:v>
                </c:pt>
                <c:pt idx="2">
                  <c:v>314.5</c:v>
                </c:pt>
                <c:pt idx="3">
                  <c:v>171.5</c:v>
                </c:pt>
                <c:pt idx="4">
                  <c:v>257</c:v>
                </c:pt>
                <c:pt idx="5">
                  <c:v>305.5</c:v>
                </c:pt>
                <c:pt idx="6">
                  <c:v>334</c:v>
                </c:pt>
                <c:pt idx="7">
                  <c:v>85.75</c:v>
                </c:pt>
                <c:pt idx="8">
                  <c:v>352.5</c:v>
                </c:pt>
                <c:pt idx="9">
                  <c:v>491</c:v>
                </c:pt>
                <c:pt idx="10">
                  <c:v>356</c:v>
                </c:pt>
                <c:pt idx="11">
                  <c:v>85.75</c:v>
                </c:pt>
                <c:pt idx="12">
                  <c:v>340</c:v>
                </c:pt>
                <c:pt idx="13">
                  <c:v>425</c:v>
                </c:pt>
              </c:numCache>
            </c:numRef>
          </c:val>
          <c:extLst>
            <c:ext xmlns:c16="http://schemas.microsoft.com/office/drawing/2014/chart" uri="{C3380CC4-5D6E-409C-BE32-E72D297353CC}">
              <c16:uniqueId val="{00000000-6848-47CA-B6D1-BE284C505202}"/>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9</xdr:col>
      <xdr:colOff>333869</xdr:colOff>
      <xdr:row>18</xdr:row>
      <xdr:rowOff>99711</xdr:rowOff>
    </xdr:from>
    <xdr:to>
      <xdr:col>15</xdr:col>
      <xdr:colOff>1237014</xdr:colOff>
      <xdr:row>40</xdr:row>
      <xdr:rowOff>7124</xdr:rowOff>
    </xdr:to>
    <xdr:graphicFrame macro="">
      <xdr:nvGraphicFramePr>
        <xdr:cNvPr id="2" name="Chart 1">
          <a:extLst>
            <a:ext uri="{FF2B5EF4-FFF2-40B4-BE49-F238E27FC236}">
              <a16:creationId xmlns:a16="http://schemas.microsoft.com/office/drawing/2014/main" id="{14338EA2-95C0-409E-9434-5A6D91956D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333869</xdr:colOff>
      <xdr:row>18</xdr:row>
      <xdr:rowOff>99711</xdr:rowOff>
    </xdr:from>
    <xdr:to>
      <xdr:col>15</xdr:col>
      <xdr:colOff>1237014</xdr:colOff>
      <xdr:row>40</xdr:row>
      <xdr:rowOff>7124</xdr:rowOff>
    </xdr:to>
    <xdr:graphicFrame macro="">
      <xdr:nvGraphicFramePr>
        <xdr:cNvPr id="4" name="Chart 3">
          <a:extLst>
            <a:ext uri="{FF2B5EF4-FFF2-40B4-BE49-F238E27FC236}">
              <a16:creationId xmlns:a16="http://schemas.microsoft.com/office/drawing/2014/main" id="{48F25BE3-77BD-50FB-EEB4-F3C53ACBB7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C5C90A1-8CC8-4035-9628-8535B27ED4EC}" autoFormatId="16" applyNumberFormats="0" applyBorderFormats="0" applyFontFormats="0" applyPatternFormats="0" applyAlignmentFormats="0" applyWidthHeightFormats="0">
  <queryTableRefresh nextId="6" unboundColumnsRight="1">
    <queryTableFields count="5">
      <queryTableField id="1" name="Spell Name.1" tableColumnId="1"/>
      <queryTableField id="4" dataBound="0" tableColumnId="4"/>
      <queryTableField id="2" name="Spell Name.2.1" tableColumnId="2"/>
      <queryTableField id="3" name="Spell Name.2.2" tableColumnId="3"/>
      <queryTableField id="5" dataBound="0" tableColumnId="5"/>
    </queryTableFields>
  </queryTableRefresh>
</queryTable>
</file>

<file path=xl/tables/_rels/table11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0DD6E0E-7D5E-48E6-B5C9-D6EF9D414FE5}" name="Proficiency" displayName="Proficiency" ref="A1:B31" totalsRowShown="0">
  <autoFilter ref="A1:B31" xr:uid="{10DD6E0E-7D5E-48E6-B5C9-D6EF9D414FE5}"/>
  <tableColumns count="2">
    <tableColumn id="1" xr3:uid="{5DDDB9C8-CB3A-4F6E-B65A-6F627ADC4B9D}" name="Level"/>
    <tableColumn id="2" xr3:uid="{73059052-DC65-42BF-A7A1-C6C87C446849}" name="Proficiency Bonu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7C3E45-B12F-4CE2-B901-B1EFC9F95DFD}" name="Modifier" displayName="Modifier" ref="A33:B63" totalsRowShown="0">
  <autoFilter ref="A33:B63" xr:uid="{9F7C3E45-B12F-4CE2-B901-B1EFC9F95DFD}"/>
  <tableColumns count="2">
    <tableColumn id="1" xr3:uid="{57021CBB-5428-40B5-B974-8BE203B6F0B3}" name="Ability Score"/>
    <tableColumn id="2" xr3:uid="{7E4D9582-AF20-473A-A922-C7A129D0E09A}" name="Modifie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1576109-0130-44D2-9194-C1176170CDA1}" name="Table10" displayName="Table10" ref="D16:E34" totalsRowShown="0">
  <autoFilter ref="D16:E34" xr:uid="{11576109-0130-44D2-9194-C1176170CDA1}"/>
  <tableColumns count="2">
    <tableColumn id="1" xr3:uid="{A85460E7-6791-4691-827E-DD865B06A65A}" name="Skill"/>
    <tableColumn id="2" xr3:uid="{8D9F3F42-E99A-4EC5-9FC4-FD3EFE02B134}" name="Abilit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E32EBC6-B08C-4D10-9D18-3C652F8B43B6}" name="Table11" displayName="Table11" ref="D36:F39" totalsRowShown="0">
  <autoFilter ref="D36:F39" xr:uid="{0E32EBC6-B08C-4D10-9D18-3C652F8B43B6}"/>
  <tableColumns count="3">
    <tableColumn id="1" xr3:uid="{FD2C4E75-923F-42B2-9D2C-9E5BAC3502EB}" name="Level of Prociency"/>
    <tableColumn id="2" xr3:uid="{CD394367-523D-41B8-98A6-355AC5467C80}" name="Modifier"/>
    <tableColumn id="3" xr3:uid="{D107A902-39AD-4BED-9628-43DF3003E4B4}" name="Facade's Bonu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B70BE96-DD62-4F36-9CAB-989FE344AFE8}" name="Table12" displayName="Table12" ref="D41:F53" totalsRowShown="0">
  <autoFilter ref="D41:F53" xr:uid="{4B70BE96-DD62-4F36-9CAB-989FE344AFE8}"/>
  <tableColumns count="3">
    <tableColumn id="1" xr3:uid="{DE66FA1D-F6F7-4E14-B264-B7AEBC6C02B5}" name="Armor"/>
    <tableColumn id="2" xr3:uid="{5AD92E27-4672-4B86-9A0E-F2C12441E39B}" name="Modifier"/>
    <tableColumn id="3" xr3:uid="{208B9E9B-D6BF-4B94-B225-D0712AD16AC3}" name="Dex Modifie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6B2A03E5-DC77-4DEC-94ED-3C8234F444B7}" name="Weapons" displayName="Weapons" ref="H73:L85" totalsRowShown="0">
  <autoFilter ref="H73:L85" xr:uid="{6B2A03E5-DC77-4DEC-94ED-3C8234F444B7}"/>
  <tableColumns count="5">
    <tableColumn id="1" xr3:uid="{0778BC4C-8825-408D-967C-07B9B992C3CC}" name="Weapons"/>
    <tableColumn id="2" xr3:uid="{D6C6AF87-E002-415E-B614-A8F41E768BFA}" name="Dice #"/>
    <tableColumn id="3" xr3:uid="{F1E7B6EB-060A-4128-A990-0B251544DC2A}" name="Damage Dice"/>
    <tableColumn id="4" xr3:uid="{9FAB6E6E-FE4F-4A05-A19A-B616B330DF29}" name="Dexterity or Strength"/>
    <tableColumn id="5" xr3:uid="{5BDA2564-09C2-4576-95A4-43E4C411A3EC}" name="Special Propertie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1310CD1-53AD-4C3D-8568-FBBE5726AE0D}" name="Summons" displayName="Summons" ref="H39:P46" totalsRowShown="0">
  <autoFilter ref="H39:P46" xr:uid="{B1310CD1-53AD-4C3D-8568-FBBE5726AE0D}"/>
  <tableColumns count="9">
    <tableColumn id="1" xr3:uid="{A7678D46-39BE-409D-9033-B7F357669497}" name="Creature"/>
    <tableColumn id="2" xr3:uid="{5C655BDD-E537-400A-8396-9823A4538E78}" name="HP"/>
    <tableColumn id="3" xr3:uid="{DF4A4D9C-62FB-46DC-AEFD-E38E1A23CC8C}" name="AC"/>
    <tableColumn id="4" xr3:uid="{6318153F-D341-4B3E-9805-640606BD640B}" name="Strength"/>
    <tableColumn id="5" xr3:uid="{0D654D19-152A-4B2F-9072-EE089BBB449A}" name="Dexterity"/>
    <tableColumn id="6" xr3:uid="{F92D50FF-2E4B-4989-8757-AEC6CFF1D312}" name="Constitution"/>
    <tableColumn id="7" xr3:uid="{B101FEE7-BCA0-47AE-8CDE-ED1E65A812BC}" name="Intelligence"/>
    <tableColumn id="8" xr3:uid="{6C193972-D7D1-4B6E-B99D-83DAAC97BC06}" name="Wisdom"/>
    <tableColumn id="9" xr3:uid="{EC179630-091D-4036-AF39-D978B1C74A4F}" name="Charisma"/>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4B7C2DE-7E76-46B5-8278-15CE093E9218}" name="Table57" displayName="Table57" ref="H49:Q56" totalsRowShown="0">
  <autoFilter ref="H49:Q56" xr:uid="{E4B7C2DE-7E76-46B5-8278-15CE093E9218}"/>
  <tableColumns count="10">
    <tableColumn id="1" xr3:uid="{D52CB7ED-3657-4D92-B566-92AB40EF899A}" name="Creature"/>
    <tableColumn id="2" xr3:uid="{D88DB5D0-5782-4123-956E-CC0DC6B7835A}" name="HP"/>
    <tableColumn id="3" xr3:uid="{B55C36D0-D9F0-4FB9-B090-0AAAFB662B49}" name="AC"/>
    <tableColumn id="4" xr3:uid="{7C680D70-5AE2-434A-AD77-9E638AF5D9DA}" name="Strength"/>
    <tableColumn id="5" xr3:uid="{8B8FF5EE-8607-49E4-A287-8C3C38CD824F}" name="Dexterity"/>
    <tableColumn id="6" xr3:uid="{C195F569-2054-418C-A6A1-ADC71CE7BCC2}" name="Constitution"/>
    <tableColumn id="7" xr3:uid="{A89DA87B-4845-4A79-815C-D96C8E9E5145}" name="Intelligence"/>
    <tableColumn id="8" xr3:uid="{92FAE0A2-CDFB-42DE-B107-684EA1DEC22E}" name="Wisdom"/>
    <tableColumn id="9" xr3:uid="{AAA0F1D9-5C78-4420-990F-C33A11ED5A0F}" name="Charisma"/>
    <tableColumn id="10" xr3:uid="{4B034E42-7C64-4420-9F6F-7F63D69FB59B}" name="Multiattack"/>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7A985CE-102C-4F0D-82F3-4978E899359A}" name="Table60" displayName="Table60" ref="H59:T70" totalsRowShown="0">
  <autoFilter ref="H59:T70" xr:uid="{77A985CE-102C-4F0D-82F3-4978E899359A}"/>
  <tableColumns count="13">
    <tableColumn id="1" xr3:uid="{F8F21F0B-C514-45BD-B62A-934F597D2703}" name="Creature"/>
    <tableColumn id="7" xr3:uid="{73DB1783-772C-4153-8D33-E71374EE185B}" name="Attack Name"/>
    <tableColumn id="12" xr3:uid="{69593BF1-67CF-46BD-8096-951CE689DCFB}" name="Creature + Move" dataDxfId="299">
      <calculatedColumnFormula>CONCATENATE(Table60[[#This Row],[Creature]],Table60[[#This Row],[Attack Name]])</calculatedColumnFormula>
    </tableColumn>
    <tableColumn id="2" xr3:uid="{4C59A4A5-D680-4852-837C-B0DE545B3402}" name="# Dice"/>
    <tableColumn id="3" xr3:uid="{CB440D52-D0F4-419F-A4A7-D93DC34C23C6}" name="Damage Dice"/>
    <tableColumn id="4" xr3:uid="{8019216E-E75C-40C0-8581-67BBAA8B91D0}" name="Strength or Dexterity"/>
    <tableColumn id="13" xr3:uid="{C845C365-179F-4C1A-8DD6-974DDEFA3500}" name="Bonus to Hit" dataDxfId="298">
      <calculatedColumnFormula>VLOOKUP(VLOOKUP(Table60[[#This Row],[Creature]],Table57[],MATCH(Table60[[#This Row],[Strength or Dexterity]],Table57[#Headers],0),FALSE),Modifier[],2,FALSE)+$B$31</calculatedColumnFormula>
    </tableColumn>
    <tableColumn id="11" xr3:uid="{D71BAF0A-3198-4AD1-9D8E-5F76E4BD38F2}" name="Extra Damage Dice #"/>
    <tableColumn id="10" xr3:uid="{8CAC3656-F1B1-4A7E-9DAE-DEC2EFEC4146}" name="Extra Damage Dice"/>
    <tableColumn id="8" xr3:uid="{80803E11-5D86-41FE-8232-E0AC5BE33033}" name="Reach"/>
    <tableColumn id="5" xr3:uid="{A15F8511-2D7E-488D-A35B-969CF47A55CE}" name="Condition"/>
    <tableColumn id="6" xr3:uid="{4B32C4B9-81BF-4955-A0B6-0E33DAB31BC1}" name="DC"/>
    <tableColumn id="9" xr3:uid="{0E4CAA24-E8B0-4409-9992-C44FF9E15DAD}" name="Requireme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4EA9E1A6-073E-4981-962F-74605A2C591C}" name="Enemies" displayName="Enemies" ref="V2:AK49" totalsRowShown="0">
  <autoFilter ref="V2:AK49" xr:uid="{4EA9E1A6-073E-4981-962F-74605A2C591C}"/>
  <tableColumns count="16">
    <tableColumn id="1" xr3:uid="{BB104E19-34D8-4837-99F6-1BDA6FDD6007}" name="Creature "/>
    <tableColumn id="2" xr3:uid="{2887F2A5-8870-43B4-A485-164B0F226064}" name="Hit Points"/>
    <tableColumn id="3" xr3:uid="{E0F0F3C0-945D-4E94-BA52-D93A1E26FF18}" name="AC"/>
    <tableColumn id="4" xr3:uid="{B133661E-1755-4651-B658-3EDFE63314EE}" name="Strength"/>
    <tableColumn id="5" xr3:uid="{BB93C960-3EB1-4EF6-ABE5-1859969F6F4B}" name="Dexterity"/>
    <tableColumn id="6" xr3:uid="{1DC8EB35-0211-4DDF-9791-B44E2FA5D6C9}" name="Constitution"/>
    <tableColumn id="7" xr3:uid="{3BF01407-4444-4B34-BB3E-512E65EB2705}" name="Intelligence"/>
    <tableColumn id="8" xr3:uid="{FB89ADB8-7E2A-4B8A-BFA6-BCEBB43A3524}" name="Wisdom"/>
    <tableColumn id="9" xr3:uid="{A179C1BC-FF3E-4A08-BAA2-F20EBB45731A}" name="Charisma"/>
    <tableColumn id="15" xr3:uid="{B73AF6C2-5BF7-4564-9B21-9D93C2157767}" name="Strength Save" dataDxfId="297"/>
    <tableColumn id="14" xr3:uid="{80CEE344-727E-4CD4-8425-761463CDB002}" name="Dexterity Save"/>
    <tableColumn id="13" xr3:uid="{9AD8F406-0795-4AE1-A73D-939CD7622576}" name="Constitution Save"/>
    <tableColumn id="10" xr3:uid="{B6DE93E0-FC94-4F36-9D4A-281C0E5F732A}" name="Intelligence Save"/>
    <tableColumn id="11" xr3:uid="{8DB92760-F6C7-4676-8F9E-1411C560AF87}" name="Wisdom Save"/>
    <tableColumn id="12" xr3:uid="{D2B9AC89-DAB7-46B8-8844-44D17D28E67A}" name="Charisma Save"/>
    <tableColumn id="16" xr3:uid="{C20CECED-2F8E-4E45-9F76-5BD5E008AEE6}" name="XP"/>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D39A840F-8E03-4773-9DCD-E3AFF45ADD9F}" name="Table64" displayName="Table64" ref="A67:C154" totalsRowShown="0">
  <autoFilter ref="A67:C154" xr:uid="{D39A840F-8E03-4773-9DCD-E3AFF45ADD9F}"/>
  <sortState xmlns:xlrd2="http://schemas.microsoft.com/office/spreadsheetml/2017/richdata2" ref="A68:C154">
    <sortCondition ref="B67:B155"/>
  </sortState>
  <tableColumns count="3">
    <tableColumn id="1" xr3:uid="{E9C0BBA6-8795-415E-81DB-0BACD5A849D5}" name="Spell Name"/>
    <tableColumn id="2" xr3:uid="{B0273FD5-AED6-467F-BC52-49E588F09FC5}" name="Level"/>
    <tableColumn id="3" xr3:uid="{D9B48FCE-A5D3-4B75-A2FC-F9B831540F98}" name="Sav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F2B4049A-AB69-4F52-AC8D-46DDC4388317}" name="Table67" displayName="Table67" ref="D56:E65" totalsRowShown="0">
  <autoFilter ref="D56:E65" xr:uid="{F2B4049A-AB69-4F52-AC8D-46DDC4388317}"/>
  <tableColumns count="2">
    <tableColumn id="1" xr3:uid="{CFDA7962-D209-4CCB-880E-49AB18ED77AB}" name="Spell Level"/>
    <tableColumn id="2" xr3:uid="{BD6FD5B5-37DD-4FDA-811C-999DA22A82F2}" name="Weigh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CC7F5A9E-6C85-4907-8159-130FA78C0E27}" name="AllyCreatures" displayName="AllyCreatures" ref="H2:N19" totalsRowShown="0" headerRowDxfId="296" headerRowBorderDxfId="295" tableBorderDxfId="294">
  <autoFilter ref="H2:N19" xr:uid="{CC7F5A9E-6C85-4907-8159-130FA78C0E27}"/>
  <tableColumns count="7">
    <tableColumn id="1" xr3:uid="{184CAFD5-D997-4BAC-866C-EC5F2E74084B}" name="Creature "/>
    <tableColumn id="4" xr3:uid="{96D6F348-F1C4-4995-8AAC-B06FAF6D6CD1}" name="Strength"/>
    <tableColumn id="5" xr3:uid="{96F4B254-E4C2-4160-BB44-A9050C147EC7}" name="Dexterity"/>
    <tableColumn id="6" xr3:uid="{0D2FD7A9-511B-46EA-906D-8356D967122B}" name="Constitution"/>
    <tableColumn id="7" xr3:uid="{7405D942-F86A-41FE-8900-480CA9D6346A}" name="Intelligence"/>
    <tableColumn id="8" xr3:uid="{1FB0E28E-9C45-4333-815C-E8BE2E5C574F}" name="Wisdom"/>
    <tableColumn id="9" xr3:uid="{265AA193-6F11-4361-A674-646C4DDFA7DA}" name="Charisma"/>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9453CC41-A469-4555-926E-072B5BCF091A}" name="Table65" displayName="Table65" ref="D8:E14" totalsRowShown="0">
  <autoFilter ref="D8:E14" xr:uid="{9453CC41-A469-4555-926E-072B5BCF091A}"/>
  <tableColumns count="2">
    <tableColumn id="1" xr3:uid="{4FDF8E11-8462-4FAF-942A-3A23E9D247F8}" name="Column1"/>
    <tableColumn id="2" xr3:uid="{18047105-7738-4437-9975-AAC9919B5AEA}" name="Column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FADE3AB8-A156-44A7-90A8-0CC471DFA1BF}" name="Table70" displayName="Table70" ref="V57:AN124" totalsRowShown="0">
  <autoFilter ref="V57:AN124" xr:uid="{FADE3AB8-A156-44A7-90A8-0CC471DFA1BF}"/>
  <tableColumns count="19">
    <tableColumn id="1" xr3:uid="{421BCF91-5773-4876-867D-42153744091F}" name="Creature"/>
    <tableColumn id="18" xr3:uid="{09440E36-CB4A-4E33-B5BC-E8A037055CA4}" name="Number"/>
    <tableColumn id="19" xr3:uid="{D1BFD98F-D993-4D53-91CA-910242117F92}" name="Move Number" dataDxfId="293">
      <calculatedColumnFormula>CONCATENATE(Table70[[#This Row],[Creature]],Table70[[#This Row],[Number]])</calculatedColumnFormula>
    </tableColumn>
    <tableColumn id="2" xr3:uid="{CA678D3E-5C8D-4ABA-B85F-92319E084F63}" name="Move Name"/>
    <tableColumn id="8" xr3:uid="{141FE3CA-4583-420C-8AE4-49291F6A25EC}" name="Attack Roll or Save"/>
    <tableColumn id="3" xr3:uid="{CF03361C-3C3B-485C-830C-29F3235FF5AA}" name="Ability Score"/>
    <tableColumn id="4" xr3:uid="{3EB97397-1A06-4CB2-A041-0AA104E3059D}" name="Bonus to Hit"/>
    <tableColumn id="5" xr3:uid="{7D6E4BE5-96F6-4ADB-BAEF-D0A68DF3C8FA}" name="Save Type"/>
    <tableColumn id="6" xr3:uid="{852C09F9-60D6-43D1-BD80-477A9A50DF45}" name="Save DC"/>
    <tableColumn id="7" xr3:uid="{585ABA41-4EB7-4A70-A802-05BF17247925}" name="# Dice"/>
    <tableColumn id="9" xr3:uid="{723DC4F7-813B-4839-A445-DC4DBDFA5F7D}" name="Damage Dice"/>
    <tableColumn id="10" xr3:uid="{3337AF13-5D50-4F7A-ACAD-56636136AF9E}" name="Bonus Damage"/>
    <tableColumn id="15" xr3:uid="{75C0A329-A36C-4898-B939-A4A8167572B9}" name="Bonus # Dice"/>
    <tableColumn id="14" xr3:uid="{F9395CE5-A0A2-48F0-A42A-F60E1A608695}" name="Bonus Damage Dice"/>
    <tableColumn id="17" xr3:uid="{68EB8DC7-47E0-41A5-92D8-8D7DF5F6100B}" name="Secondary Save Type"/>
    <tableColumn id="16" xr3:uid="{0C5FA382-2E3C-4FD1-B870-270C568F5654}" name="Secondary Save DC"/>
    <tableColumn id="11" xr3:uid="{6F889FBC-73CB-4E1B-83BF-558990CA171A}" name="Average Damage">
      <calculatedColumnFormula>((Table70[[#This Row],[Damage Dice]]/2)*Table70[[#This Row],['# Dice]])+(Table70[[#This Row],[Bonus Damage Dice]]/2)*Table70[[#This Row],[Bonus '# Dice]]+Table70[[#This Row],[Bonus Damage]]</calculatedColumnFormula>
    </tableColumn>
    <tableColumn id="12" xr3:uid="{D47F11C6-E71F-4C84-B747-3A7C6CCDAE4C}" name="Range"/>
    <tableColumn id="13" xr3:uid="{103E04B0-A02F-4BEF-96AB-CA817F1D65D9}" name="Condition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7B1C6B7-D8C3-40C0-9F3A-7850B13B4504}" name="Probability" displayName="Probability" ref="G87:T108" totalsRowShown="0">
  <autoFilter ref="G87:T108" xr:uid="{67B1C6B7-D8C3-40C0-9F3A-7850B13B4504}"/>
  <tableColumns count="14">
    <tableColumn id="1" xr3:uid="{B0DF715D-8611-4C15-B0D7-EE0D3BD938E1}" name="Roll"/>
    <tableColumn id="2" xr3:uid="{B7C4064D-A14C-4D94-9D32-0D1DBA2F57EF}" name="Normal"/>
    <tableColumn id="7" xr3:uid="{291470FE-C087-4C6C-A448-FDB488DB9A99}" name="Normal Roll Needed to Hit" dataDxfId="292" dataCellStyle="Percent"/>
    <tableColumn id="8" xr3:uid="{55E41D0A-C78A-4F9F-B6D1-DF8B080145D6}" name="Highest Roll to Fail" dataDxfId="291"/>
    <tableColumn id="3" xr3:uid="{B142E254-EA68-42EA-A321-2A963543A0C2}" name="Advantage"/>
    <tableColumn id="9" xr3:uid="{372B5333-2D49-4B02-914A-006A5210AF82}" name="ADV Roll Needed to Hit" dataDxfId="290" dataCellStyle="Percent"/>
    <tableColumn id="12" xr3:uid="{CB746BC4-3CBF-43FA-AE84-16FBE34CDE37}" name="ADV Highest Roll to Fail" dataDxfId="289" dataCellStyle="Percent"/>
    <tableColumn id="4" xr3:uid="{9A7BAAF3-E2F2-48FD-BA5C-F46A1819D810}" name="Disadvantage"/>
    <tableColumn id="14" xr3:uid="{BA4C962F-AF7B-4607-B234-750B690A2FBE}" name="DIS Roll Needed to Hit" dataDxfId="288" dataCellStyle="Percent"/>
    <tableColumn id="13" xr3:uid="{525BE591-745E-4033-96E7-FCAFAE52FC29}" name="DIS Highest Roll to Fail" dataDxfId="287" dataCellStyle="Percent"/>
    <tableColumn id="5" xr3:uid="{C037B964-A5F7-44CF-8464-AD518D882EE3}" name="2xAdvantage" dataDxfId="286"/>
    <tableColumn id="10" xr3:uid="{4A62B803-DB72-40AB-BD98-A95BF9E2DEC5}" name="ADV2 Cumulative" dataDxfId="285" dataCellStyle="Percent"/>
    <tableColumn id="6" xr3:uid="{5CB86ABA-BBEB-48CB-821D-D62B358D15F4}" name="2xDisadvantage"/>
    <tableColumn id="11" xr3:uid="{AFA8721A-00F8-486F-9D34-C21B7BB9CC3F}" name="DIS2 Cumulativ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88017D6C-FA9B-4F85-BD2B-D12328BA8AE0}" name="Table84" displayName="Table84" ref="G110:H114" totalsRowShown="0">
  <autoFilter ref="G110:H114" xr:uid="{88017D6C-FA9B-4F85-BD2B-D12328BA8AE0}"/>
  <tableColumns count="2">
    <tableColumn id="1" xr3:uid="{C2FE6E75-B598-4DA8-9B47-C4D224B2EA89}" name="Roll"/>
    <tableColumn id="2" xr3:uid="{043B0493-60DA-4BA1-823A-FF5153422852}" name="Normal " dataCellStyle="Percent"/>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EDA1ABA2-320C-468D-980B-BE229F4D5C28}" name="Table100" displayName="Table100" ref="AP57:BH118" totalsRowShown="0" headerRowDxfId="284" headerRowBorderDxfId="283" tableBorderDxfId="282">
  <autoFilter ref="AP57:BH118" xr:uid="{EDA1ABA2-320C-468D-980B-BE229F4D5C28}"/>
  <tableColumns count="19">
    <tableColumn id="1" xr3:uid="{8551267A-CD22-4BA9-88FD-962CB1A39959}" name="Creature"/>
    <tableColumn id="2" xr3:uid="{3D1C2695-BABC-466B-8AB7-5B2EABFFA3ED}" name="Number"/>
    <tableColumn id="3" xr3:uid="{8956FC44-82DB-4F10-BC6D-C00621301F84}" name="Move Number" dataDxfId="281">
      <calculatedColumnFormula>CONCATENATE(Table100[[#This Row],[Creature]],Table100[[#This Row],[Number]])</calculatedColumnFormula>
    </tableColumn>
    <tableColumn id="4" xr3:uid="{FA13499E-96EF-4800-9B38-E383DB21EA60}" name="Move Name"/>
    <tableColumn id="5" xr3:uid="{6C7A4431-9584-46D0-9927-AC912C86D2C2}" name="Attack Roll or Save"/>
    <tableColumn id="6" xr3:uid="{A22D3A19-771E-4408-A843-520F7641FC2A}" name="Ability Score"/>
    <tableColumn id="7" xr3:uid="{03E2EFEF-4DE0-4C91-BD7B-702EB8B0E5A3}" name="Bonus to Hit"/>
    <tableColumn id="8" xr3:uid="{38DA41DC-0084-477E-928F-1B7B1D507454}" name="Save Type"/>
    <tableColumn id="9" xr3:uid="{1BD5850E-8927-421A-9F7B-511D6668B9A8}" name="Save DC"/>
    <tableColumn id="10" xr3:uid="{4162EF76-9A8A-4C59-B5FF-50EA8D3ED028}" name="# Dice"/>
    <tableColumn id="11" xr3:uid="{70F44726-6917-4DC5-944E-B4E1BD084CAB}" name="Damage Dice"/>
    <tableColumn id="12" xr3:uid="{CBAB9D9F-FBF6-4AAF-AABF-600FEBECB5D0}" name="Bonus Damage"/>
    <tableColumn id="13" xr3:uid="{33F50431-7FD2-4BAC-BDA5-559657BAB23E}" name="Bonus # Dice"/>
    <tableColumn id="14" xr3:uid="{D78C7258-9B93-45DE-92AF-AC73987DE7DC}" name="Bonus Damage Dice"/>
    <tableColumn id="15" xr3:uid="{4736DF90-FB13-4994-8E9D-BD59834FC5B3}" name="Secondary Save Type"/>
    <tableColumn id="16" xr3:uid="{A2DF945F-4212-4C89-A653-49103BD07870}" name="Secondary Save DC"/>
    <tableColumn id="17" xr3:uid="{B7AB7089-4298-4B79-989C-1E69C55D09D0}" name="Average Damage" dataDxfId="280">
      <calculatedColumnFormula>((Table100[[#This Row],[Damage Dice]]/2)*Table100[[#This Row],['# Dice]])+((Table100[[#This Row],[Bonus Damage Dice]]/2)*Table100[[#This Row],[Bonus '# Dice]])+Table100[[#This Row],[Bonus Damage]]</calculatedColumnFormula>
    </tableColumn>
    <tableColumn id="18" xr3:uid="{D7EA8B70-1317-44E3-AAC2-9BFF6F0EFCD2}" name="Range"/>
    <tableColumn id="19" xr3:uid="{37F8DC7E-FB12-4ADB-936A-D2A750BCC1B0}" name="Condition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B8B129CB-1AA2-4FF9-B1B3-A8CB3171C7F6}" name="CreatureTracker88" displayName="CreatureTracker88" ref="A3:F17" totalsRowShown="0" headerRowDxfId="279">
  <autoFilter ref="A3:F17" xr:uid="{90386794-48B6-4A5B-B140-31E9B7C5F25C}"/>
  <sortState xmlns:xlrd2="http://schemas.microsoft.com/office/spreadsheetml/2017/richdata2" ref="A4:F17">
    <sortCondition ref="A3:A17"/>
  </sortState>
  <tableColumns count="6">
    <tableColumn id="1" xr3:uid="{42389728-BAF0-433C-AAA5-9214E485C3E3}" name="Creature" dataDxfId="278"/>
    <tableColumn id="3" xr3:uid="{5B5EB01A-EC78-4357-A4CF-A03060B3CC85}" name="AC" dataDxfId="277"/>
    <tableColumn id="2" xr3:uid="{F8142BC8-2AAB-44F4-BEB6-CD8618F4AB2C}" name="Current Hitpoints" dataDxfId="276">
      <calculatedColumnFormula>'Drow Arachnomancer'!F18</calculatedColumnFormula>
    </tableColumn>
    <tableColumn id="6" xr3:uid="{F3ED7DA9-90CC-4D48-9201-3FB0E882915F}" name="Health Status" dataCellStyle="Percent">
      <calculatedColumnFormula>CreatureTracker88[[#This Row],[Current Hitpoints]]/CreatureTracker88[[#This Row],[Total Hit Points]]</calculatedColumnFormula>
    </tableColumn>
    <tableColumn id="7" xr3:uid="{4C10EF9D-8BE1-425C-BE0E-802E1585F432}" name="Spell Arsenal Status" dataDxfId="275" dataCellStyle="Percent">
      <calculatedColumnFormula>(VLOOKUP(CreatureTracker88[[#This Row],[Creature]],SlotTracker104[],MATCH("Current Spell Arsenal",SlotTracker104[#Headers],0),FALSE))/(VLOOKUP(CreatureTracker88[[#This Row],[Creature]],SlotTracker104[],MATCH("Spell Presence",SlotTracker104[#Headers],0),FALSE))</calculatedColumnFormula>
    </tableColumn>
    <tableColumn id="5" xr3:uid="{F2B95A10-FCD3-4356-9344-3CE2922495AC}" name="Total Hit Points" dataDxfId="274" dataCellStyle="Percent"/>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F73709DF-887E-428C-8425-0A8E0B1F821C}" name="Table4592" displayName="Table4592" ref="P3:Q15" totalsRowShown="0" headerRowDxfId="273">
  <autoFilter ref="P3:Q15" xr:uid="{F90AE051-248C-46EA-A71F-76BF37EB5BD9}"/>
  <tableColumns count="2">
    <tableColumn id="1" xr3:uid="{7A3F0B11-2846-40F5-B786-80E9508364D4}" name="Creature Affected"/>
    <tableColumn id="2" xr3:uid="{80A3F52D-14CA-4F7F-92A9-1E66FC6836FD}" name="Damage Dealt"/>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CD102A5-2E58-4F20-AFA9-6E73EF19A6B2}" name="Table5193" displayName="Table5193" ref="A64:C67" totalsRowShown="0">
  <autoFilter ref="A64:C67" xr:uid="{4411B0FD-5561-41B7-9D91-F7E5C0F5576B}"/>
  <tableColumns count="3">
    <tableColumn id="1" xr3:uid="{5959ABA1-9DCC-4908-972B-6FF20B618D3A}" name="Creature"/>
    <tableColumn id="2" xr3:uid="{599C5860-C34F-4FFA-8E66-8DCED0C35525}" name="HP" dataDxfId="272">
      <calculatedColumnFormula>IFERROR(VLOOKUP(Table5193[[#This Row],[Creature]],Summons[],2,FALSE),"")</calculatedColumnFormula>
    </tableColumn>
    <tableColumn id="3" xr3:uid="{14C5849B-8BEC-4044-BC20-C9423B9FB393}" name="AC" dataDxfId="271">
      <calculatedColumnFormula>IFERROR(VLOOKUP(Table5193[[#This Row],[Creature]],Summons[],3,FALSE),"")</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1E6E6BBC-458A-4BC0-9816-4B6D41F784C2}" name="Table6696" displayName="Table6696" ref="E64:L76" totalsRowShown="0">
  <autoFilter ref="E64:L76" xr:uid="{4FB521CE-0EBB-4B01-BDC8-8A956432F5C4}"/>
  <tableColumns count="8">
    <tableColumn id="1" xr3:uid="{CF6BEBB6-8CF4-44CE-AE6E-3FF579E8F013}" name="Creature"/>
    <tableColumn id="2" xr3:uid="{89DAA890-EEB5-4783-9EB4-C608BECD5489}" name="Column1"/>
    <tableColumn id="3" xr3:uid="{23275573-90FF-4C44-9A74-40AA2B09B49F}" name="Strength Save" dataDxfId="270">
      <calculatedColumnFormula>'Drow Arachnomancer'!$E$2</calculatedColumnFormula>
    </tableColumn>
    <tableColumn id="4" xr3:uid="{05E8DD25-E04A-42A9-839A-2A5BA49EDD97}" name="Dexterity Save"/>
    <tableColumn id="5" xr3:uid="{990B5947-C5D4-4AF3-8307-5E2D8A8B5777}" name="Constitution Save"/>
    <tableColumn id="6" xr3:uid="{73586AEE-E38E-45F7-AE59-CEAAC3D44901}" name="Intelligence Save"/>
    <tableColumn id="7" xr3:uid="{67FBEBC1-4F28-4B41-BBBA-053736032AD2}" name="Wisdom Save"/>
    <tableColumn id="8" xr3:uid="{13165BEF-DBAB-42A1-A51F-264106519A27}" name="Charisma Sav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371E27FF-DC5E-4DB0-A15A-31872B818801}" name="Table68103" displayName="Table68103" ref="S3:U15" totalsRowShown="0">
  <autoFilter ref="S3:U15" xr:uid="{107B903A-57B8-4DBB-9E6D-85BBE78EB471}"/>
  <tableColumns count="3">
    <tableColumn id="1" xr3:uid="{F598B36E-F002-4D3C-8B37-0AFFE67458DE}" name="Creature Casting"/>
    <tableColumn id="2" xr3:uid="{FCF7522B-BA39-4A37-87A7-F6D0EAB87BAD}" name="Spell Level"/>
    <tableColumn id="4" xr3:uid="{EB984070-2B5B-4F77-9B2B-26DEC78A2AB5}" name="Weight" dataDxfId="269" dataCellStyle="Calculation">
      <calculatedColumnFormula>IF(Table68103[[#This Row],[Spell Level]]&lt;&gt;"",VLOOKUP(Table68103[[#This Row],[Spell Level]],Table67[],2,FALSE)*1,"")</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7BB55E1A-2F4E-4DF5-8148-A26C1BAF9786}" name="SlotTracker104" displayName="SlotTracker104" ref="E79:Q96" totalsRowShown="0">
  <autoFilter ref="E79:Q96" xr:uid="{63A4844C-9369-40B4-BFA6-B11DA306E092}"/>
  <sortState xmlns:xlrd2="http://schemas.microsoft.com/office/spreadsheetml/2017/richdata2" ref="E80:Q93">
    <sortCondition ref="E79:E93"/>
  </sortState>
  <tableColumns count="13">
    <tableColumn id="1" xr3:uid="{96E39F44-1373-4A8F-AEF3-AC6A840E38FF}" name="Creature"/>
    <tableColumn id="2" xr3:uid="{051655B2-21D9-4D66-B487-279513B33C61}" name="Column1"/>
    <tableColumn id="3" xr3:uid="{E9358B80-0B34-4A40-B259-7E621959CD27}" name="1st"/>
    <tableColumn id="4" xr3:uid="{62FCACB5-03A9-4F56-850C-8B711C29F430}" name="2nd"/>
    <tableColumn id="5" xr3:uid="{DDC11D3E-832A-48A8-A3EC-E90CAFD24C75}" name="3rd"/>
    <tableColumn id="6" xr3:uid="{F0F896FD-A61B-470F-A69F-20410DF481C9}" name="4th"/>
    <tableColumn id="7" xr3:uid="{C39FA7F0-49DD-4242-823A-37BCC016BA31}" name="5th"/>
    <tableColumn id="8" xr3:uid="{D12A610A-73C8-4E68-A903-334222CA83E3}" name="6th"/>
    <tableColumn id="9" xr3:uid="{D17BAFA4-C13C-4EC4-8040-A8E3A99D577F}" name="7th"/>
    <tableColumn id="10" xr3:uid="{DCD5A7EB-87B1-42D7-ABA2-5BACFD06BDBC}" name="8th"/>
    <tableColumn id="11" xr3:uid="{C20B44F9-FECA-490E-8CAF-77CB83D3627F}" name="9th"/>
    <tableColumn id="12" xr3:uid="{2286E6F9-5B59-41F9-B0C6-BDD9E8549A63}" name="Spell Presence" dataDxfId="268">
      <calculatedColumnFormula>(SlotTracker104[[#This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calculatedColumnFormula>
    </tableColumn>
    <tableColumn id="13" xr3:uid="{39D805FA-FD00-403E-8974-20721BFB7B19}" name="Current Spell Arsenal" dataDxfId="267">
      <calculatedColumnFormula>SlotTracker104[[#This Row],[Spell Presence]]-SUMIFS(Table68103[Weight],Table68103[Creature Casting],SlotTracker104[[#This Row],[Creature]])</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9B67F618-4D39-4FF8-B412-CE2773845C96}" name="Table8105" displayName="Table8105" ref="J3:M17" totalsRowShown="0">
  <autoFilter ref="J3:M17" xr:uid="{1E8FEDD4-1DC0-4D0B-AF50-1916C3941870}"/>
  <tableColumns count="4">
    <tableColumn id="1" xr3:uid="{960DEDF1-D2B5-4161-89F1-F3E4884712F8}" name="Creature"/>
    <tableColumn id="3" xr3:uid="{8E14F2BA-9820-4420-9F14-E8812C1FC330}" name="Con Save" dataDxfId="266">
      <calculatedColumnFormula>VLOOKUP(Table8105[[#This Row],[Creature]],Table66[],5,FALSE)</calculatedColumnFormula>
    </tableColumn>
    <tableColumn id="2" xr3:uid="{D01E1424-E07A-48F3-8279-3DF94E7B20B9}" name="Concentrating?"/>
    <tableColumn id="4" xr3:uid="{B5361D94-052B-4E89-B02A-687538416E0A}" name="Spell" dataCellStyle="Check Cell"/>
  </tableColumns>
  <tableStyleInfo name="TableStyleLight1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E261D5F8-15AC-4190-957B-685F5F25E9B1}" name="Table69106" displayName="Table69106" ref="A27:I42" totalsRowShown="0" headerRowDxfId="265">
  <autoFilter ref="A27:I42" xr:uid="{59F1F761-BB3C-46C8-9D3D-86BE77980EE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9" xr3:uid="{310F46B5-D292-4FB0-8D76-8614CFB3BC6C}" name="Number" dataDxfId="264"/>
    <tableColumn id="1" xr3:uid="{ACD32134-9A08-41F1-ABD7-C16DA28AB73D}" name="Move Name" dataDxfId="263">
      <calculatedColumnFormula>IFERROR(IF(VLOOKUP(CONCATENATE($B$20,Table69106[[#This Row],[Number]]),Table70[[Move Number]:[Attack Roll or Save]],3,FALSE)="Saving Throw"," ",VLOOKUP(CONCATENATE($B$20,Table69106[[#This Row],[Number]]),Table70[[Move Number]:[Move Name]],2,FALSE))," ")</calculatedColumnFormula>
    </tableColumn>
    <tableColumn id="2" xr3:uid="{4E194A9B-3DFB-43C1-BEFA-1F4A8E97B266}" name="% to Hit" dataDxfId="262">
      <calculatedColumnFormula>IFERROR(VLOOKUP(RIGHT($C$22,2)-VLOOKUP(Table69106[[#This Row],[Move Name]],Table70[[Move Name]:[Bonus to Hit]],4,FALSE),Probability[],3,FALSE),"")</calculatedColumnFormula>
    </tableColumn>
    <tableColumn id="3" xr3:uid="{AFAE7436-52B5-4135-93A7-1ACE5C0C120D}" name="AVG Damage" dataDxfId="261">
      <calculatedColumnFormula>IFERROR((VLOOKUP(Table69106[[#This Row],[Move Name]],Table70[[Move Name]:[Average Damage]],14,FALSE)*Table69106[[#This Row],[% to Hit]])+(0.05*VLOOKUP(Table69106[[#This Row],[Move Name]],Table70[[Move Name]:[Average Damage]],14,FALSE)*2)," ")</calculatedColumnFormula>
    </tableColumn>
    <tableColumn id="4" xr3:uid="{283EEEA7-445F-4C95-9CA7-545758957A8C}" name="% ADV" dataDxfId="260" dataCellStyle="Percent">
      <calculatedColumnFormula>IFERROR(VLOOKUP(RIGHT($C$22,2)-VLOOKUP(Table69106[[#This Row],[Move Name]],Table70[[Move Name]:[Bonus to Hit]],4,FALSE),Probability[],6,FALSE),"")</calculatedColumnFormula>
    </tableColumn>
    <tableColumn id="5" xr3:uid="{30BE0A51-C624-428C-8A49-2143A96316E2}" name="ADV Damage"/>
    <tableColumn id="6" xr3:uid="{BBE54978-5695-4419-A9E3-D2732781E3CF}" name="ADV DMG" dataDxfId="259">
      <calculatedColumnFormula>IFERROR((VLOOKUP(Table69106[[#This Row],[Move Name]],Table70[[Move Name]:[Average Damage]],14,FALSE)*Table69106[[#This Row],[% ADV]])+(0.05*VLOOKUP(Table69106[[#This Row],[Move Name]],Table70[[Move Name]:[Average Damage]],14,FALSE)*2)," ")</calculatedColumnFormula>
    </tableColumn>
    <tableColumn id="7" xr3:uid="{42D94277-97AF-4B68-A621-4C1D69F43AC1}" name="% DIS" dataDxfId="258">
      <calculatedColumnFormula>IFERROR(VLOOKUP(RIGHT($C$22,2)-VLOOKUP(Table69106[[#This Row],[Move Name]],Table70[[Move Name]:[Bonus to Hit]],4,FALSE),Probability[],9,FALSE),"")</calculatedColumnFormula>
    </tableColumn>
    <tableColumn id="8" xr3:uid="{72105D3B-6DB0-4C65-99A9-B9B633B04F92}" name="DIS Damage" dataDxfId="257">
      <calculatedColumnFormula>IFERROR((VLOOKUP(Table69106[[#This Row],[Move Name]],Table70[[Move Name]:[Average Damage]],14,FALSE)*Table69106[[#This Row],[% DIS]])+(0.05*VLOOKUP(Table69106[[#This Row],[Move Name]],Table70[[Move Name]:[Average Damage]],14,FALSE)*2)," ")</calculatedColumnFormula>
    </tableColumn>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063505EB-AD40-45B6-966E-A685DFB083BC}" name="Table82107" displayName="Table82107" ref="A43:I61" totalsRowShown="0">
  <autoFilter ref="A43:I61" xr:uid="{CA26DFDE-FDC3-4A16-BFEB-889493C0021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1AAE5F0B-EBBF-420A-B608-196201385498}" name="Number " dataDxfId="256"/>
    <tableColumn id="2" xr3:uid="{4DF5E86C-C2EC-4045-B00C-6C738D5548FB}" name="Move Name" dataDxfId="255">
      <calculatedColumnFormula>IFERROR(IF(VLOOKUP(CONCATENATE($B$20,Table82107[[#This Row],[Number ]]),Table70[[Move Number]:[Attack Roll or Save]],3,FALSE)="Attack Roll"," ",VLOOKUP(CONCATENATE($B$20,Table82107[[#This Row],[Number ]]),Table70[[Move Number]:[Move Name]],2,FALSE))," ")</calculatedColumnFormula>
    </tableColumn>
    <tableColumn id="3" xr3:uid="{30BB082F-0FB1-467D-A1F7-84C238216F4C}" name="% Creature Fails" dataDxfId="254" dataCellStyle="Percent">
      <calculatedColumnFormula>IFERROR(VLOOKUP(VLOOKUP(Table82107[[#This Row],[Move Name]],Table70[[Move Name]:[Save DC]],6,FALSE)-VLOOKUP('Facade Dashboard'!$B$22,'Rules of the Game'!$V$3:$AJ$14,MATCH(VLOOKUP(Table82107[[#This Row],[Move Name]],Table70[[Move Name]:[Save Type]],5,FALSE),Enemies[#Headers],0),FALSE),'Rules of the Game'!$G$88:$T$108,4,FALSE),"")</calculatedColumnFormula>
    </tableColumn>
    <tableColumn id="4" xr3:uid="{9609F1CB-2EDC-452F-9F7B-79AE599854F7}" name="AVG Damage" dataDxfId="253">
      <calculatedColumnFormula>IFERROR((VLOOKUP(Table82107[[#This Row],[Move Name]],Table70[[Move Name]:[Average Damage]],14,FALSE)*Table82107[[#This Row],[% Creature Fails]])+(0.05*VLOOKUP(Table82107[[#This Row],[Move Name]],Table70[[Move Name]:[Average Damage]],14,FALSE)*2),"")</calculatedColumnFormula>
    </tableColumn>
    <tableColumn id="5" xr3:uid="{A83F115F-6001-4A59-A147-4A6670584E3E}" name="% Creature Fails w/ ADV" dataDxfId="252">
      <calculatedColumnFormula>IFERROR(VLOOKUP(VLOOKUP(Table82107[[#This Row],[Move Name]],Table70[[Move Name]:[Save DC]],6,FALSE)-VLOOKUP('Facade Dashboard'!$B$22,'Rules of the Game'!$V$3:$AJ$14,MATCH(VLOOKUP(Table82107[[#This Row],[Move Name]],Table70[[Move Name]:[Save Type]],5,FALSE),Enemies[#Headers],0),FALSE),'Rules of the Game'!$G$88:$T$108,7,FALSE),"")</calculatedColumnFormula>
    </tableColumn>
    <tableColumn id="6" xr3:uid="{B09376A6-136E-4189-A46B-0844654BF57D}" name="Column1"/>
    <tableColumn id="7" xr3:uid="{FB40B24B-40C9-479D-B2D3-40B6906A2715}" name="ADV DMG" dataDxfId="251">
      <calculatedColumnFormula>IFERROR((VLOOKUP(Table82107[[#This Row],[Move Name]],Table70[[Move Name]:[Average Damage]],14,FALSE)*Table82107[[#This Row],[% Creature Fails w/ ADV]])+(0.05*VLOOKUP(Table82107[[#This Row],[Move Name]],Table70[[Move Name]:[Average Damage]],14,FALSE)*2),"")</calculatedColumnFormula>
    </tableColumn>
    <tableColumn id="8" xr3:uid="{2D635017-1B4A-48C2-8F3B-967B06943252}" name="% Creature Fails with DIS" dataDxfId="250">
      <calculatedColumnFormula>IFERROR(VLOOKUP(VLOOKUP(Table82107[[#This Row],[Move Name]],Table70[[Move Name]:[Save DC]],6,FALSE)-VLOOKUP('Facade Dashboard'!$B$22,'Rules of the Game'!$V$3:$AJ$14,MATCH(VLOOKUP(Table82107[[#This Row],[Move Name]],Table70[[Move Name]:[Save Type]],5,FALSE),Enemies[#Headers],0),FALSE),'Rules of the Game'!$G$88:$T$108,10,FALSE),"")</calculatedColumnFormula>
    </tableColumn>
    <tableColumn id="9" xr3:uid="{8B34F694-7898-4D2C-ADE1-F171AA7EF0F5}" name="DIS DMG" dataDxfId="249">
      <calculatedColumnFormula>IFERROR((VLOOKUP(Table82107[[#This Row],[Move Name]],Table70[[Move Name]:[Average Damage]],14,FALSE)*Table82107[[#This Row],[% Creature Fails with DIS]])+(0.05*VLOOKUP(Table82107[[#This Row],[Move Name]],Table70[[Move Name]:[Average Damage]],14,FALSE)*2),"")</calculatedColumnFormula>
    </tableColumn>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A57C466-CFDF-4B32-B453-D44A45655027}" name="Table53109" displayName="Table53109" ref="W3:Y16" totalsRowShown="0">
  <autoFilter ref="W3:Y16" xr:uid="{611D82EC-F725-4D7E-8B75-9FBD25ACB733}"/>
  <tableColumns count="3">
    <tableColumn id="1" xr3:uid="{4F569072-0994-4E17-B724-B074668FA920}" name="Creature"/>
    <tableColumn id="2" xr3:uid="{65111536-A13D-460A-BBDD-6F51D64AFC0D}" name="XP" dataDxfId="248" dataCellStyle="Comma">
      <calculatedColumnFormula>IFERROR(VLOOKUP(Table53109[[#This Row],[Creature]],Enemies[],16,FALSE),"")</calculatedColumnFormula>
    </tableColumn>
    <tableColumn id="3" xr3:uid="{32DE37BB-085A-47C0-ADCD-287D609F4573}" name="Total XP" dataDxfId="247" dataCellStyle="Comma">
      <calculatedColumnFormula>Table53109[[#This Row],[XP]]</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FEEEBA8F-DE11-4A2E-B6CD-972635C0CE59}" name="Table99110" displayName="Table99110" ref="K43:O48" totalsRowShown="0">
  <autoFilter ref="K43:O48" xr:uid="{6EC52246-94D9-428B-B731-B750501A9ECA}"/>
  <tableColumns count="5">
    <tableColumn id="1" xr3:uid="{0B80277C-B6D0-4325-BC14-3D6C8B11FCED}" name="Number"/>
    <tableColumn id="2" xr3:uid="{E38C047B-0A29-4C97-BEC3-472317086A33}" name="Move Name" dataDxfId="246">
      <calculatedColumnFormula>IFERROR(IF(VLOOKUP(CONCATENATE($B$22,Table99110[[#This Row],[Number]]),Table100[[Move Number]:[Attack Roll or Save]],3,FALSE)="Saving Throw","",VLOOKUP(CONCATENATE($B$22,Table99110[[#This Row],[Number]]),Table100[[Move Number]:[Move Name]],2,FALSE)),"")</calculatedColumnFormula>
    </tableColumn>
    <tableColumn id="3" xr3:uid="{156868FA-C19A-4FCC-BAA3-F528376B764A}" name="% Hit" dataCellStyle="Percent">
      <calculatedColumnFormula>IFERROR(VLOOKUP(VLOOKUP($B$20,CreatureTracker88[[Creature]:[AC]],2,FALSE)-VLOOKUP(Table99110[[#This Row],[Move Name]],Table100[[Move Name]:[Bonus to Hit]],4,FALSE),Probability[],3,FALSE),"")</calculatedColumnFormula>
    </tableColumn>
    <tableColumn id="4" xr3:uid="{2C0AC65B-67ED-4EF9-B34E-546AC2E7CD88}" name="% DIS" dataDxfId="245" dataCellStyle="Percent">
      <calculatedColumnFormula>IFERROR(VLOOKUP(VLOOKUP($B$20,CreatureTracker88[[Creature]:[AC]],2,FALSE)-VLOOKUP(Table99110[[#This Row],[Move Name]],Table100[[Move Name]:[Bonus to Hit]],4,FALSE),Probability[],9,FALSE),"")</calculatedColumnFormula>
    </tableColumn>
    <tableColumn id="5" xr3:uid="{562437B8-A2E9-42D7-8FCF-5DD543F5C09D}" name="% ADV" dataDxfId="244" dataCellStyle="Percent">
      <calculatedColumnFormula>IFERROR(VLOOKUP(VLOOKUP($B$20,CreatureTracker88[[Creature]:[AC]],2,FALSE)-VLOOKUP(Table99110[[#This Row],[Move Name]],Table100[[Move Name]:[Bonus to Hit]],4,FALSE),Probability[],6,FALSE),"")</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71FECB7-4967-4573-A720-0A7A2AEF04C3}" name="Table101111" displayName="Table101111" ref="K49:O58" totalsRowShown="0">
  <autoFilter ref="K49:O58" xr:uid="{7A6C015D-2CAB-4A5A-9142-252D5E04826C}"/>
  <tableColumns count="5">
    <tableColumn id="1" xr3:uid="{51DCAFF6-D9DA-4439-8005-9BF71ECFF8BD}" name="Number"/>
    <tableColumn id="2" xr3:uid="{BC368AAD-F6FB-4612-BD51-8F580E8F8380}" name="Move Name" dataDxfId="243">
      <calculatedColumnFormula>IFERROR(IF(VLOOKUP(CONCATENATE($B$22,Table101111[[#This Row],[Number]]),Table100[[Move Number]:[Attack Roll or Save]],3,FALSE)="Attack Roll","",VLOOKUP(CONCATENATE($B$22,Table101111[[#This Row],[Number]]),Table100[[Move Number]:[Move Name]],2,FALSE)),"")</calculatedColumnFormula>
    </tableColumn>
    <tableColumn id="3" xr3:uid="{0D58A450-E0AF-4933-B364-21EB9C960064}" name="% Fail" dataDxfId="242" dataCellStyle="Percent">
      <calculatedColumnFormula>IFERROR(VLOOKUP(VLOOKUP(Table101111[[#This Row],[Move Name]],Table100[[Move Name]:[Save DC]],6,FALSE)-VLOOKUP('Dim Dashboard'!$B$20,Table6696[],MATCH(VLOOKUP(Table101111[[#This Row],[Move Name]],Table100[[Move Name]:[Save Type]],5,FALSE),Table6696[#Headers],0),FALSE),Probability[],4,FALSE),"")</calculatedColumnFormula>
    </tableColumn>
    <tableColumn id="4" xr3:uid="{09233152-4C00-487A-B1C8-6180D1557787}" name="% ADV" dataDxfId="241" dataCellStyle="Percent">
      <calculatedColumnFormula>IFERROR(VLOOKUP(VLOOKUP(Table101111[[#This Row],[Move Name]],Table100[[Move Name]:[Save DC]],6,FALSE)-VLOOKUP('Dim Dashboard'!$B$20,Table6696[],MATCH(VLOOKUP(Table101111[[#This Row],[Move Name]],Table100[[Move Name]:[Save Type]],5,FALSE),Table6696[#Headers],0),FALSE),Probability[],10,FALSE),"")</calculatedColumnFormula>
    </tableColumn>
    <tableColumn id="5" xr3:uid="{17CC8DD4-007A-4542-B9C4-BB7AA0ECC492}" name="% DIS" dataDxfId="240" dataCellStyle="Percent">
      <calculatedColumnFormula>IFERROR(VLOOKUP(VLOOKUP(Table101111[[#This Row],[Move Name]],Table100[[Move Name]:[Save DC]],6,FALSE)-VLOOKUP('Dim Dashboard'!$B$20,Table6696[],MATCH(VLOOKUP(Table101111[[#This Row],[Move Name]],Table100[[Move Name]:[Save Type]],5,FALSE),Table6696[#Headers],0),FALSE),Probability[],7,FALSE),"")</calculatedColumnFormula>
    </tableColumn>
  </tableColumns>
  <tableStyleInfo name="TableStyleLight1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0386794-48B6-4A5B-B140-31E9B7C5F25C}" name="CreatureTracker" displayName="CreatureTracker" ref="A3:F17" totalsRowShown="0" headerRowDxfId="239">
  <autoFilter ref="A3:F17" xr:uid="{90386794-48B6-4A5B-B140-31E9B7C5F25C}"/>
  <sortState xmlns:xlrd2="http://schemas.microsoft.com/office/spreadsheetml/2017/richdata2" ref="A4:F17">
    <sortCondition ref="A3:A17"/>
  </sortState>
  <tableColumns count="6">
    <tableColumn id="1" xr3:uid="{0A5D5538-457C-4C80-B5AF-9EC31DBC7A8A}" name="Creature" dataDxfId="238"/>
    <tableColumn id="3" xr3:uid="{6E51E45D-B5F0-44D3-AD91-A2B57310C9A4}" name="AC" dataDxfId="237"/>
    <tableColumn id="2" xr3:uid="{846614C8-8EEA-41FB-9860-FCC30BEAECD0}" name="Current Hitpoints" dataDxfId="236">
      <calculatedColumnFormula>'Drow Arachnomancer'!F18</calculatedColumnFormula>
    </tableColumn>
    <tableColumn id="6" xr3:uid="{9108D487-A40D-4813-829C-6247DF408F47}" name="Health Status" dataCellStyle="Percent">
      <calculatedColumnFormula>CreatureTracker[[#This Row],[Current Hitpoints]]/CreatureTracker[[#This Row],[Total Hit Points]]</calculatedColumnFormula>
    </tableColumn>
    <tableColumn id="7" xr3:uid="{532DA313-1658-4E82-8E74-ACBD7135334E}" name="Spell Arsenal Status" dataDxfId="235" dataCellStyle="Percent">
      <calculatedColumnFormula>(VLOOKUP(CreatureTracker[[#This Row],[Creature]],SlotTracker[],MATCH("Current Spell Arsenal",SlotTracker[#Headers],0),FALSE))/(VLOOKUP(CreatureTracker[[#This Row],[Creature]],SlotTracker[],MATCH("Spell Presence",SlotTracker[#Headers],0),FALSE))</calculatedColumnFormula>
    </tableColumn>
    <tableColumn id="5" xr3:uid="{CCF8E2E7-A099-40FF-B7D5-90DD8FF470EE}" name="Total Hit Points" dataDxfId="234" dataCellStyle="Percent"/>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F90AE051-248C-46EA-A71F-76BF37EB5BD9}" name="Table45" displayName="Table45" ref="P3:Q15" totalsRowShown="0" headerRowDxfId="233">
  <autoFilter ref="P3:Q15" xr:uid="{F90AE051-248C-46EA-A71F-76BF37EB5BD9}"/>
  <tableColumns count="2">
    <tableColumn id="1" xr3:uid="{39B930AB-7952-4E27-A928-A6A2367BFBA6}" name="Creature Affected"/>
    <tableColumn id="2" xr3:uid="{812C39FC-2B5B-4DDE-BBD3-296E4D28C417}" name="Damage Dealt"/>
  </tableColumns>
  <tableStyleInfo name="TableStyleMedium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11B0FD-5561-41B7-9D91-F7E5C0F5576B}" name="Table51" displayName="Table51" ref="A64:C67" totalsRowShown="0">
  <autoFilter ref="A64:C67" xr:uid="{4411B0FD-5561-41B7-9D91-F7E5C0F5576B}"/>
  <tableColumns count="3">
    <tableColumn id="1" xr3:uid="{DED7C1A5-C2C2-4EC0-84C6-48A8EF3DC3AA}" name="Creature"/>
    <tableColumn id="2" xr3:uid="{CFAAC130-0F74-416B-B6D4-D3366FC1A549}" name="HP" dataDxfId="232">
      <calculatedColumnFormula>IFERROR(VLOOKUP(Table51[[#This Row],[Creature]],Summons[],2,FALSE),"")</calculatedColumnFormula>
    </tableColumn>
    <tableColumn id="3" xr3:uid="{B6527806-6E21-4CA7-96AD-27514727118E}" name="AC" dataDxfId="231">
      <calculatedColumnFormula>IFERROR(VLOOKUP(Table51[[#This Row],[Creature]],Summons[],3,FALSE),"")</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FB521CE-0EBB-4B01-BDC8-8A956432F5C4}" name="Table66" displayName="Table66" ref="E64:L76" totalsRowShown="0">
  <autoFilter ref="E64:L76" xr:uid="{4FB521CE-0EBB-4B01-BDC8-8A956432F5C4}"/>
  <tableColumns count="8">
    <tableColumn id="1" xr3:uid="{0C687C9C-8DB5-4E7E-9192-39F5287B887B}" name="Creature"/>
    <tableColumn id="2" xr3:uid="{DFE32773-D8E7-4DA7-9952-89B6F7C2415A}" name="Column1"/>
    <tableColumn id="3" xr3:uid="{301A6F38-FD61-4F90-8E2D-75CAEA2C7D0B}" name="Strength Save" dataDxfId="230">
      <calculatedColumnFormula>'Drow Arachnomancer'!$E$2</calculatedColumnFormula>
    </tableColumn>
    <tableColumn id="4" xr3:uid="{D81F41A7-F818-4A32-82F4-8436C51F3752}" name="Dexterity Save"/>
    <tableColumn id="5" xr3:uid="{431E2D55-143C-43A2-B3CE-5FB61447FF6C}" name="Constitution Save"/>
    <tableColumn id="6" xr3:uid="{822074F6-A5CE-42C6-B9EA-1AEFE16CCF9B}" name="Intelligence Save"/>
    <tableColumn id="7" xr3:uid="{21465517-A1EF-4676-A540-654DB4A498FA}" name="Wisdom Save"/>
    <tableColumn id="8" xr3:uid="{0C5755F7-E272-4D88-8D76-B363D731981A}" name="Charisma Save"/>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107B903A-57B8-4DBB-9E6D-85BBE78EB471}" name="Table68" displayName="Table68" ref="S3:U15" totalsRowShown="0">
  <autoFilter ref="S3:U15" xr:uid="{107B903A-57B8-4DBB-9E6D-85BBE78EB471}"/>
  <tableColumns count="3">
    <tableColumn id="1" xr3:uid="{B0E551C5-3DA6-43C6-9416-D09B54076F94}" name="Creature Casting"/>
    <tableColumn id="2" xr3:uid="{93C5128D-ADD1-44DC-B1CD-A0F04EE7368E}" name="Spell Level"/>
    <tableColumn id="4" xr3:uid="{FE78A221-3876-4118-ACC5-B82C0D9BB29E}" name="Weight" dataDxfId="229" dataCellStyle="Calculation">
      <calculatedColumnFormula>IF(Table68[[#This Row],[Spell Level]]&lt;&gt;"",VLOOKUP(Table68[[#This Row],[Spell Level]],Table67[],2,FALSE)*1,"")</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A4844C-9369-40B4-BFA6-B11DA306E092}" name="SlotTracker" displayName="SlotTracker" ref="E79:Q93" totalsRowShown="0">
  <autoFilter ref="E79:Q93" xr:uid="{63A4844C-9369-40B4-BFA6-B11DA306E092}"/>
  <sortState xmlns:xlrd2="http://schemas.microsoft.com/office/spreadsheetml/2017/richdata2" ref="E80:Q93">
    <sortCondition ref="E79:E93"/>
  </sortState>
  <tableColumns count="13">
    <tableColumn id="1" xr3:uid="{F97D3987-4D15-4B4B-AB24-7A2371FFB824}" name="Creature"/>
    <tableColumn id="2" xr3:uid="{88A4ACA7-B875-4D1C-A4EB-F3CBF513DECD}" name="Column1"/>
    <tableColumn id="3" xr3:uid="{311A06AE-79A3-4F8E-8C1E-DB8AF1E5A113}" name="1st"/>
    <tableColumn id="4" xr3:uid="{4A471EE1-99E1-424F-8813-94FD1A916C03}" name="2nd"/>
    <tableColumn id="5" xr3:uid="{7A623246-EFF3-407C-91F4-E904B13D0CED}" name="3rd"/>
    <tableColumn id="6" xr3:uid="{F1101AFD-1F1C-4DFC-8DAE-5F974B7950CA}" name="4th"/>
    <tableColumn id="7" xr3:uid="{413E54AE-8CF9-4BC0-9CE9-9AEAFE025E18}" name="5th"/>
    <tableColumn id="8" xr3:uid="{9BE9C8EC-979D-4256-8909-725CF1D82727}" name="6th"/>
    <tableColumn id="9" xr3:uid="{D631A606-F18A-411C-B0E5-4CF017224F8B}" name="7th"/>
    <tableColumn id="10" xr3:uid="{CE2D02EE-695E-475A-B67A-A617B5901B95}" name="8th"/>
    <tableColumn id="11" xr3:uid="{3A282B51-008D-48A7-9F16-8A1957AAE5FF}" name="9th"/>
    <tableColumn id="12" xr3:uid="{E2A08878-F049-4507-9722-1F8C94BDF053}" name="Spell Presence" dataDxfId="228">
      <calculatedColumnFormula>(SlotTracker[[#This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calculatedColumnFormula>
    </tableColumn>
    <tableColumn id="13" xr3:uid="{A309E8E0-387F-45AE-912E-13B90A139C83}" name="Current Spell Arsenal" dataDxfId="227">
      <calculatedColumnFormula>SlotTracker[[#This Row],[Spell Presence]]-SUMIFS(Table68[Weight],Table68[Creature Casting],SlotTracker[[#This Row],[Creature]])</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E8FEDD4-1DC0-4D0B-AF50-1916C3941870}" name="Table8" displayName="Table8" ref="J3:M17" totalsRowShown="0">
  <autoFilter ref="J3:M17" xr:uid="{1E8FEDD4-1DC0-4D0B-AF50-1916C3941870}"/>
  <tableColumns count="4">
    <tableColumn id="1" xr3:uid="{5A8614D3-2431-4345-87FB-EAC399744B9E}" name="Creature"/>
    <tableColumn id="3" xr3:uid="{E34674EC-F866-45CB-983A-54FB0E0F45A9}" name="Con Save" dataDxfId="226">
      <calculatedColumnFormula>VLOOKUP(Table8[[#This Row],[Creature]],Table66[],5,FALSE)</calculatedColumnFormula>
    </tableColumn>
    <tableColumn id="2" xr3:uid="{435D49C5-A3FE-4F0F-9555-C173DC79972A}" name="Concentrating?"/>
    <tableColumn id="4" xr3:uid="{01400C20-B798-4515-B7A7-0BB61DFE4B22}" name="Spell" dataCellStyle="Check Cell"/>
  </tableColumns>
  <tableStyleInfo name="TableStyleLight1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9F1F761-BB3C-46C8-9D3D-86BE77980EE4}" name="Table69" displayName="Table69" ref="A27:I42" totalsRowShown="0" headerRowDxfId="225">
  <autoFilter ref="A27:I42" xr:uid="{59F1F761-BB3C-46C8-9D3D-86BE77980EE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9" xr3:uid="{AE5387D3-83C0-40E1-A359-0A1B0C8E1B51}" name="Number" dataDxfId="224"/>
    <tableColumn id="1" xr3:uid="{DE97D804-80A7-4214-BD86-F6EB25D31849}" name="Move Name" dataDxfId="223">
      <calculatedColumnFormula>IFERROR(IF(VLOOKUP(CONCATENATE($B$20,Table69[[#This Row],[Number]]),Table70[[Move Number]:[Attack Roll or Save]],3,FALSE)="Saving Throw"," ",VLOOKUP(CONCATENATE($B$20,Table69[[#This Row],[Number]]),Table70[[Move Number]:[Move Name]],2,FALSE))," ")</calculatedColumnFormula>
    </tableColumn>
    <tableColumn id="2" xr3:uid="{51F5CC1D-993D-4340-A532-39984E409496}" name="% to Hit" dataDxfId="222">
      <calculatedColumnFormula>IFERROR(VLOOKUP(RIGHT($C$22,2)-VLOOKUP(Table69[[#This Row],[Move Name]],Table70[[Move Name]:[Bonus to Hit]],4,FALSE),Probability[],3,FALSE),"")</calculatedColumnFormula>
    </tableColumn>
    <tableColumn id="3" xr3:uid="{FFF976EA-6A98-48C0-9E01-5D05D98436EB}" name="AVG Damage" dataDxfId="221">
      <calculatedColumnFormula>IFERROR((VLOOKUP(Table69[[#This Row],[Move Name]],Table70[[Move Name]:[Average Damage]],14,FALSE)*Table69[[#This Row],[% to Hit]])+(0.05*VLOOKUP(Table69[[#This Row],[Move Name]],Table70[[Move Name]:[Average Damage]],14,FALSE)*2)," ")</calculatedColumnFormula>
    </tableColumn>
    <tableColumn id="4" xr3:uid="{A1EC7E75-2F64-43BC-A63D-A7F31A519BBB}" name="% ADV" dataDxfId="220" dataCellStyle="Percent">
      <calculatedColumnFormula>IFERROR(VLOOKUP(RIGHT($C$22,2)-VLOOKUP(Table69[[#This Row],[Move Name]],Table70[[Move Name]:[Bonus to Hit]],4,FALSE),Probability[],6,FALSE),"")</calculatedColumnFormula>
    </tableColumn>
    <tableColumn id="5" xr3:uid="{515C2887-B36F-4637-A8E5-A5A8C8B74959}" name="ADV Damage"/>
    <tableColumn id="6" xr3:uid="{E5DE7854-E00F-4C38-8627-84EE41625238}" name="ADV DMG" dataDxfId="219">
      <calculatedColumnFormula>IFERROR((VLOOKUP(Table69[[#This Row],[Move Name]],Table70[[Move Name]:[Average Damage]],14,FALSE)*Table69[[#This Row],[% ADV]])+(0.05*VLOOKUP(Table69[[#This Row],[Move Name]],Table70[[Move Name]:[Average Damage]],14,FALSE)*2)," ")</calculatedColumnFormula>
    </tableColumn>
    <tableColumn id="7" xr3:uid="{FBF42552-5F32-49F6-9B79-D8F9E1830EE4}" name="% DIS" dataDxfId="218">
      <calculatedColumnFormula>IFERROR(VLOOKUP(RIGHT($C$22,2)-VLOOKUP(Table69[[#This Row],[Move Name]],Table70[[Move Name]:[Bonus to Hit]],4,FALSE),Probability[],9,FALSE),"")</calculatedColumnFormula>
    </tableColumn>
    <tableColumn id="8" xr3:uid="{D33F7FF2-6BF5-477D-9716-410EB5068F1B}" name="DIS Damage" dataDxfId="217">
      <calculatedColumnFormula>IFERROR((VLOOKUP(Table69[[#This Row],[Move Name]],Table70[[Move Name]:[Average Damage]],14,FALSE)*Table69[[#This Row],[% DIS]])+(0.05*VLOOKUP(Table69[[#This Row],[Move Name]],Table70[[Move Name]:[Average Damage]],14,FALSE)*2)," ")</calculatedColumnFormula>
    </tableColumn>
  </tableColumns>
  <tableStyleInfo name="TableStyleMedium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CA26DFDE-FDC3-4A16-BFEB-889493C0021F}" name="Table82" displayName="Table82" ref="A43:I61" totalsRowShown="0">
  <autoFilter ref="A43:I61" xr:uid="{CA26DFDE-FDC3-4A16-BFEB-889493C0021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B11586B1-6C24-444D-A9B2-8D7350EF0400}" name="Number " dataDxfId="216"/>
    <tableColumn id="2" xr3:uid="{A945052A-1DBE-4D27-9C19-647512B5105F}" name="Move Name" dataDxfId="215">
      <calculatedColumnFormula>IFERROR(IF(VLOOKUP(CONCATENATE($B$20,Table82[[#This Row],[Number ]]),Table70[[Move Number]:[Attack Roll or Save]],3,FALSE)="Attack Roll"," ",VLOOKUP(CONCATENATE($B$20,Table82[[#This Row],[Number ]]),Table70[[Move Number]:[Move Name]],2,FALSE))," ")</calculatedColumnFormula>
    </tableColumn>
    <tableColumn id="3" xr3:uid="{54D505CD-181D-445E-9884-B5EBBF92716D}" name="% Creature Fails" dataDxfId="214" dataCellStyle="Percent">
      <calculatedColumnFormula>IFERROR(VLOOKUP(VLOOKUP(Table82[[#This Row],[Move Name]],Table70[[Move Name]:[Save DC]],6,FALSE)-VLOOKUP('Facade Dashboard'!$B$22,'Rules of the Game'!$V$3:$AJ$14,MATCH(VLOOKUP(Table82[[#This Row],[Move Name]],Table70[[Move Name]:[Save Type]],5,FALSE),Enemies[#Headers],0),FALSE),'Rules of the Game'!$G$88:$T$108,4,FALSE),"")</calculatedColumnFormula>
    </tableColumn>
    <tableColumn id="4" xr3:uid="{097CB4A7-C19C-4915-8047-C37C3FFA7C36}" name="AVG Damage" dataDxfId="213">
      <calculatedColumnFormula>IFERROR((VLOOKUP(Table82[[#This Row],[Move Name]],Table70[[Move Name]:[Average Damage]],14,FALSE)*Table82[[#This Row],[% Creature Fails]])+(0.05*VLOOKUP(Table82[[#This Row],[Move Name]],Table70[[Move Name]:[Average Damage]],14,FALSE)*2),"")</calculatedColumnFormula>
    </tableColumn>
    <tableColumn id="5" xr3:uid="{97969E9A-31AE-4CC3-8509-4EED9447C443}" name="% Creature Fails w/ ADV" dataDxfId="212">
      <calculatedColumnFormula>IFERROR(VLOOKUP(VLOOKUP(Table82[[#This Row],[Move Name]],Table70[[Move Name]:[Save DC]],6,FALSE)-VLOOKUP('Facade Dashboard'!$B$22,'Rules of the Game'!$V$3:$AJ$14,MATCH(VLOOKUP(Table82[[#This Row],[Move Name]],Table70[[Move Name]:[Save Type]],5,FALSE),Enemies[#Headers],0),FALSE),'Rules of the Game'!$G$88:$T$108,7,FALSE),"")</calculatedColumnFormula>
    </tableColumn>
    <tableColumn id="6" xr3:uid="{C5697B04-6819-4BA4-B561-B68D79FC6B04}" name="Column1"/>
    <tableColumn id="7" xr3:uid="{B1FD8F58-AF50-4BE0-A9F8-8F44BDE04EEF}" name="ADV DMG" dataDxfId="211">
      <calculatedColumnFormula>IFERROR((VLOOKUP(Table82[[#This Row],[Move Name]],Table70[[Move Name]:[Average Damage]],14,FALSE)*Table82[[#This Row],[% Creature Fails w/ ADV]])+(0.05*VLOOKUP(Table82[[#This Row],[Move Name]],Table70[[Move Name]:[Average Damage]],14,FALSE)*2),"")</calculatedColumnFormula>
    </tableColumn>
    <tableColumn id="8" xr3:uid="{8B41F56A-10BF-4604-ACA9-E551EBE3A83B}" name="% Creature Fails with DIS" dataDxfId="210">
      <calculatedColumnFormula>IFERROR(VLOOKUP(VLOOKUP(Table82[[#This Row],[Move Name]],Table70[[Move Name]:[Save DC]],6,FALSE)-VLOOKUP('Facade Dashboard'!$B$22,'Rules of the Game'!$V$3:$AJ$14,MATCH(VLOOKUP(Table82[[#This Row],[Move Name]],Table70[[Move Name]:[Save Type]],5,FALSE),Enemies[#Headers],0),FALSE),'Rules of the Game'!$G$88:$T$108,10,FALSE),"")</calculatedColumnFormula>
    </tableColumn>
    <tableColumn id="9" xr3:uid="{5FCEC9A2-292D-43E9-B703-C8908A9A726E}" name="DIS DMG" dataDxfId="209">
      <calculatedColumnFormula>IFERROR((VLOOKUP(Table82[[#This Row],[Move Name]],Table70[[Move Name]:[Average Damage]],14,FALSE)*Table82[[#This Row],[% Creature Fails with DIS]])+(0.05*VLOOKUP(Table82[[#This Row],[Move Name]],Table70[[Move Name]:[Average Damage]],14,FALSE)*2),"")</calculatedColumnFormula>
    </tableColumn>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F94C2793-8870-45B7-9480-45F0148F3A17}" name="Preparations" displayName="Preparations" ref="K95:M124" totalsRowShown="0" headerRowDxfId="208" tableBorderDxfId="207">
  <autoFilter ref="K95:M124" xr:uid="{F94C2793-8870-45B7-9480-45F0148F3A17}"/>
  <sortState xmlns:xlrd2="http://schemas.microsoft.com/office/spreadsheetml/2017/richdata2" ref="K96:M124">
    <sortCondition descending="1" ref="K95:K124"/>
  </sortState>
  <tableColumns count="3">
    <tableColumn id="1" xr3:uid="{169D7182-3302-4200-9697-02713D5657A2}" name="Hours Before the Raid"/>
    <tableColumn id="2" xr3:uid="{DFC83E34-B290-474C-8FFB-8188B94A8BC1}" name="Preparations"/>
    <tableColumn id="3" xr3:uid="{800598DC-3A02-444F-B093-FF68A4578B4F}" name="Reasoning"/>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11D82EC-F725-4D7E-8B75-9FBD25ACB733}" name="Table53" displayName="Table53" ref="W3:Y16" totalsRowShown="0">
  <autoFilter ref="W3:Y16" xr:uid="{611D82EC-F725-4D7E-8B75-9FBD25ACB733}"/>
  <tableColumns count="3">
    <tableColumn id="1" xr3:uid="{46A80E9D-3691-4C18-BB1D-C5A135248E90}" name="Creature"/>
    <tableColumn id="2" xr3:uid="{85303D37-4040-46B1-B0DA-7FB507C6ED3F}" name="XP" dataDxfId="206" dataCellStyle="Comma">
      <calculatedColumnFormula>IFERROR(VLOOKUP(Table53[[#This Row],[Creature]],Enemies[],16,FALSE),"")</calculatedColumnFormula>
    </tableColumn>
    <tableColumn id="3" xr3:uid="{014F46A1-2A67-496D-8462-CD9ED94F7ADF}" name="Total XP" dataDxfId="205" dataCellStyle="Comma">
      <calculatedColumnFormula>Table53[[#This Row],[XP]]</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6EC52246-94D9-428B-B731-B750501A9ECA}" name="Table99" displayName="Table99" ref="K43:O48" totalsRowShown="0">
  <autoFilter ref="K43:O48" xr:uid="{6EC52246-94D9-428B-B731-B750501A9ECA}"/>
  <tableColumns count="5">
    <tableColumn id="1" xr3:uid="{663FDC23-2438-4E0A-8A64-47727BC381B3}" name="Number"/>
    <tableColumn id="2" xr3:uid="{39CE4E57-CAE6-48E4-830A-BFEAFB0D0885}" name="Move Name" dataDxfId="204">
      <calculatedColumnFormula>IFERROR(IF(VLOOKUP(CONCATENATE($B$22,Table99[[#This Row],[Number]]),Table100[[Move Number]:[Attack Roll or Save]],3,FALSE)="Saving Throw","",VLOOKUP(CONCATENATE($B$22,Table99[[#This Row],[Number]]),Table100[[Move Number]:[Move Name]],2,FALSE)),"")</calculatedColumnFormula>
    </tableColumn>
    <tableColumn id="3" xr3:uid="{EADB111A-9371-4904-BF5C-F15E47BAD0D6}" name="% Hit" dataCellStyle="Percent">
      <calculatedColumnFormula>IFERROR(VLOOKUP(VLOOKUP($B$20,CreatureTracker[[Creature]:[AC]],2,FALSE)-VLOOKUP(Table99[[#This Row],[Move Name]],Table100[[Move Name]:[Bonus to Hit]],4,FALSE),Probability[],3,FALSE),"")</calculatedColumnFormula>
    </tableColumn>
    <tableColumn id="4" xr3:uid="{F5FD172F-538F-422E-9D71-3165CA34A66D}" name="% DIS" dataDxfId="203" dataCellStyle="Percent">
      <calculatedColumnFormula>IFERROR(VLOOKUP(VLOOKUP($B$20,CreatureTracker[[Creature]:[AC]],2,FALSE)-VLOOKUP(Table99[[#This Row],[Move Name]],Table100[[Move Name]:[Bonus to Hit]],4,FALSE),Probability[],9,FALSE),"")</calculatedColumnFormula>
    </tableColumn>
    <tableColumn id="5" xr3:uid="{D13CEE25-DC7B-46F3-AF17-BA05F96D60ED}" name="% ADV" dataDxfId="202" dataCellStyle="Percent">
      <calculatedColumnFormula>IFERROR(VLOOKUP(VLOOKUP($B$20,CreatureTracker[[Creature]:[AC]],2,FALSE)-VLOOKUP(Table99[[#This Row],[Move Name]],Table100[[Move Name]:[Bonus to Hit]],4,FALSE),Probability[],6,FALSE),"")</calculatedColumnFormula>
    </tableColumn>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7A6C015D-2CAB-4A5A-9142-252D5E04826C}" name="Table101" displayName="Table101" ref="K49:O58" totalsRowShown="0">
  <autoFilter ref="K49:O58" xr:uid="{7A6C015D-2CAB-4A5A-9142-252D5E04826C}"/>
  <tableColumns count="5">
    <tableColumn id="1" xr3:uid="{EBFD4218-0C86-447C-AAA8-1B2B250CF501}" name="Number"/>
    <tableColumn id="2" xr3:uid="{2F2A9C71-4FE7-41EE-AE83-E547B52D52E0}" name="Move Name" dataDxfId="201">
      <calculatedColumnFormula>IFERROR(IF(VLOOKUP(CONCATENATE($B$22,Table101[[#This Row],[Number]]),Table100[[Move Number]:[Attack Roll or Save]],3,FALSE)="Attack Roll","",VLOOKUP(CONCATENATE($B$22,Table101[[#This Row],[Number]]),Table100[[Move Number]:[Move Name]],2,FALSE)),"")</calculatedColumnFormula>
    </tableColumn>
    <tableColumn id="3" xr3:uid="{F340C270-BB5B-4BF6-A925-B9B8C7FCDAE2}" name="% Fail" dataDxfId="200" dataCellStyle="Percent">
      <calculatedColumnFormula>IFERROR(VLOOKUP(VLOOKUP(Table101[[#This Row],[Move Name]],Table100[[Move Name]:[Save DC]],6,FALSE)-VLOOKUP('Facade Dashboard'!$B$20,Table66[],MATCH(VLOOKUP(Table101[[#This Row],[Move Name]],Table100[[Move Name]:[Save Type]],5,FALSE),Table66[#Headers],0),FALSE),Probability[],4,FALSE),"")</calculatedColumnFormula>
    </tableColumn>
    <tableColumn id="4" xr3:uid="{0E8E76C2-1E20-474B-97B2-92E3F23FC5BB}" name="% ADV" dataDxfId="199" dataCellStyle="Percent">
      <calculatedColumnFormula>IFERROR(VLOOKUP(VLOOKUP(Table101[[#This Row],[Move Name]],Table100[[Move Name]:[Save DC]],6,FALSE)-VLOOKUP('Facade Dashboard'!$B$20,Table66[],MATCH(VLOOKUP(Table101[[#This Row],[Move Name]],Table100[[Move Name]:[Save Type]],5,FALSE),Table66[#Headers],0),FALSE),Probability[],10,FALSE),"")</calculatedColumnFormula>
    </tableColumn>
    <tableColumn id="5" xr3:uid="{0B96A152-987B-4212-A7A0-005BA3AEA980}" name="% DIS" dataDxfId="198" dataCellStyle="Percent">
      <calculatedColumnFormula>IFERROR(VLOOKUP(VLOOKUP(Table101[[#This Row],[Move Name]],Table100[[Move Name]:[Save DC]],6,FALSE)-VLOOKUP('Facade Dashboard'!$B$20,Table66[],MATCH(VLOOKUP(Table101[[#This Row],[Move Name]],Table100[[Move Name]:[Save Type]],5,FALSE),Table66[#Headers],0),FALSE),Probability[],7,FALSE),"")</calculatedColumnFormula>
    </tableColumn>
  </tableColumns>
  <tableStyleInfo name="TableStyleLight1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D6249312-954D-4C73-A7C2-F36D540F6722}" name="Table5112" displayName="Table5112" ref="A1:E7" totalsRowShown="0">
  <autoFilter ref="A1:E7" xr:uid="{DFA6F7D6-D0FA-41D5-8637-4546B444DF33}"/>
  <tableColumns count="5">
    <tableColumn id="1" xr3:uid="{0DFD126A-D6DB-4EA4-B4F0-3DA7D3DBA57D}" name="Ability"/>
    <tableColumn id="2" xr3:uid="{3B11E2C9-A133-4017-BC76-8F98E3DB74E2}" name="Score"/>
    <tableColumn id="3" xr3:uid="{0157EA26-DEFF-4CD6-8F26-597D3B6DEF9D}" name="Modifiers" dataDxfId="197">
      <calculatedColumnFormula>VLOOKUP(Table5112[[#This Row],[Score]],Modifier[],2,FALSE)</calculatedColumnFormula>
    </tableColumn>
    <tableColumn id="4" xr3:uid="{0E8BF2A0-511B-48C7-B9C7-F62DBDA1076B}" name="Proficiency?"/>
    <tableColumn id="5" xr3:uid="{0CED743E-2520-4232-961D-6CB244884D78}" name="Saving Throw" dataDxfId="196">
      <calculatedColumnFormula>IF(Table5112[[#This Row],[Proficiency?]]="No",Table5112[[#This Row],[Modifiers]],VLOOKUP($F$16,Proficiency[],2,FALSE)+Table5112[[#This Row],[Modifiers]])</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DCAB6C23-4075-4117-8683-AE0AFCE6E8F8}" name="Table9113" displayName="Table9113" ref="A10:C28" totalsRowShown="0">
  <autoFilter ref="A10:C28" xr:uid="{2DBB9D55-EF1F-4093-B5D6-DE81E115B39E}"/>
  <tableColumns count="3">
    <tableColumn id="1" xr3:uid="{4E2B70A2-C43B-41E8-80DA-A8994EED94C5}" name="Skills"/>
    <tableColumn id="2" xr3:uid="{269C5AFD-2DFD-4150-9813-E28288D65E67}" name="Proficiency Level"/>
    <tableColumn id="3" xr3:uid="{8A1A966A-36AC-4364-A964-B4339A991C1C}" name="Bonus" dataDxfId="195">
      <calculatedColumnFormula>VLOOKUP(VLOOKUP(Table9113[[#This Row],[Skills]],Table10[],2,FALSE),Table5112[[Ability]:[Modifiers]],3,FALSE)+VLOOKUP(Table9113[[#This Row],[Proficiency Level]],Table11[],3,FALSE)</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9CBAD6B0-B886-4683-861F-89D5CAC1EA47}" name="Table13114" displayName="Table13114" ref="A31:D35" totalsRowShown="0">
  <autoFilter ref="A31:D35" xr:uid="{909F95C3-35FC-4E69-B822-D6A8D2A32F99}"/>
  <tableColumns count="4">
    <tableColumn id="1" xr3:uid="{A96A74EA-7318-4C85-982B-ACB63B378304}" name="Class"/>
    <tableColumn id="2" xr3:uid="{2C43BCF5-7246-4F42-B021-736DDDA23317}" name="Hit Dice"/>
    <tableColumn id="3" xr3:uid="{4F7F85D9-F88A-4742-88A7-A32091454D64}" name="Levels"/>
    <tableColumn id="4" xr3:uid="{6DA8B58C-D965-4584-8C6A-2FECA73373E5}" name="Average " dataDxfId="194">
      <calculatedColumnFormula>(((Table13114[[#This Row],[Hit Dice]]/2)+0.5)+VLOOKUP("Constitution",Table5112[[Ability]:[Modifiers]],3,FALSE))*Table13114[[#This Row],[Levels]]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807118D6-D3BB-4C22-B4EC-CB7BBA73CA23}" name="Table4975115" displayName="Table4975115" ref="G26:N32" totalsRowShown="0">
  <autoFilter ref="G26:N32" xr:uid="{E2A06D02-23DC-463B-B070-2B331CDC7628}"/>
  <tableColumns count="8">
    <tableColumn id="1" xr3:uid="{A4987297-7D3D-448C-B0FA-E7C3E75A7854}" name="Name"/>
    <tableColumn id="2" xr3:uid="{86EA255E-D838-449F-BC47-8190C14E1B9A}" name="Bonus To Hit" dataDxfId="193">
      <calculatedColumnFormula>$C$2+VLOOKUP($F$16,Proficiency[],2,FALSE)</calculatedColumnFormula>
    </tableColumn>
    <tableColumn id="3" xr3:uid="{7F4388A6-CCB2-4632-95F2-4538BF65738F}" name="# of Dice"/>
    <tableColumn id="4" xr3:uid="{007EF55A-69C4-4650-B9CE-1016898A2542}" name="Damage Dice"/>
    <tableColumn id="5" xr3:uid="{9263E496-5B71-4B04-9388-FB61EEDA22EE}" name="Bonus Damage" dataDxfId="192">
      <calculatedColumnFormula>$C$2</calculatedColumnFormula>
    </tableColumn>
    <tableColumn id="8" xr3:uid="{1BD50D1B-4014-4BD1-8D2D-29FDC9BB09A6}" name="Average Damage" dataDxfId="191">
      <calculatedColumnFormula>Table4975115[[#This Row],['# of Dice]]*Table4975115[[#This Row],[Damage Dice]]+Table4975115[[#This Row],[Bonus Damage]]</calculatedColumnFormula>
    </tableColumn>
    <tableColumn id="6" xr3:uid="{BAC95E86-6C56-4EE2-B5A1-E9923A0E201E}" name="Description"/>
    <tableColumn id="7" xr3:uid="{C5539D7D-0A1C-4AD8-9E0E-EB8720DCF8C1}" name="Range"/>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A8FA5BD-2C85-426F-A9F4-813D5A48B2F4}" name="Table6276116" displayName="Table6276116" ref="G36:M42" totalsRowShown="0">
  <autoFilter ref="G36:M42" xr:uid="{5D81E257-A07C-41B6-977B-06FC1E275DEB}"/>
  <tableColumns count="7">
    <tableColumn id="1" xr3:uid="{17A01783-354F-4204-933B-037992D4C0D8}" name="Attack" dataDxfId="190">
      <calculatedColumnFormula>G27</calculatedColumnFormula>
    </tableColumn>
    <tableColumn id="2" xr3:uid="{B8B0CDEC-FAB7-4B28-92F8-7079F06EBF64}" name="% to Hit" dataDxfId="189" dataCellStyle="Percent">
      <calculatedColumnFormula>VLOOKUP($K$35-VLOOKUP($F$16,Proficiency[],2,FALSE),'Rules of the Game'!$G$88:$T$108,3,FALSE)</calculatedColumnFormula>
    </tableColumn>
    <tableColumn id="5" xr3:uid="{33ABB4DD-544D-43AD-B76D-0590E6EAD472}" name="AVG DMG" dataDxfId="188" dataCellStyle="Percent">
      <calculatedColumnFormula>(VLOOKUP(Table6276116[[#This Row],[Attack]],Table4975115[],6,FALSE)*Table6276116[[#This Row],[% to Hit]])+(0.05*2*VLOOKUP(Table6276116[[#This Row],[Attack]],Table4975115[],6,FALSE))</calculatedColumnFormula>
    </tableColumn>
    <tableColumn id="3" xr3:uid="{DC3A6687-0267-440A-A95F-51C4D64F9F37}" name="% ADV" dataDxfId="187" dataCellStyle="Percent">
      <calculatedColumnFormula>VLOOKUP($K$35-VLOOKUP($F$16,Proficiency[],2,FALSE),'Rules of the Game'!$G$88:$T$107,6,FALSE)</calculatedColumnFormula>
    </tableColumn>
    <tableColumn id="6" xr3:uid="{87E8E64C-0A31-47FF-9DB1-BF39609478C0}" name="ADV DMG" dataDxfId="186" dataCellStyle="Percent">
      <calculatedColumnFormula>(VLOOKUP(Table6276116[[#This Row],[Attack]],Table4975115[],6,FALSE)*Table6276116[[#This Row],[% ADV]])+(0.1*2*VLOOKUP(Table6276116[[#This Row],[Attack]],Table4975115[],6,FALSE))</calculatedColumnFormula>
    </tableColumn>
    <tableColumn id="4" xr3:uid="{38379648-3220-4A27-B3EC-27C36A0A6681}" name="% DIS" dataDxfId="185" dataCellStyle="Percent">
      <calculatedColumnFormula>VLOOKUP($K$35-VLOOKUP($F$16,Proficiency[],2,FALSE),'Rules of the Game'!$G$88:$T$108,7,FALSE)</calculatedColumnFormula>
    </tableColumn>
    <tableColumn id="7" xr3:uid="{F1062220-D50B-4334-B8E1-D8E442368097}" name="DIS DMG" dataDxfId="184">
      <calculatedColumnFormula>(VLOOKUP(Table6276116[[#This Row],[Attack]],Table4975115[],6,FALSE)*Table6276116[[#This Row],[% DIS]])+(0.0025*2*VLOOKUP(Table6276116[[#This Row],[Attack]],Table4975115[],6,FALSE))</calculatedColumnFormula>
    </tableColumn>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FAC15A95-A866-4617-8AD7-428B8C511949}" name="Table5557117" displayName="Table5557117" ref="G45:J53" totalsRowShown="0" headerRowDxfId="183">
  <autoFilter ref="G45:J53" xr:uid="{6C862047-EA0A-4E8E-88A7-B54BBE5A6BB1}"/>
  <tableColumns count="4">
    <tableColumn id="1" xr3:uid="{DD850FB8-ECD4-48B4-B382-F6CE909828FB}" name="Active" dataCellStyle="Input"/>
    <tableColumn id="2" xr3:uid="{C46C0E85-CBF9-482A-A23D-B85EE383D01C}" name="Spell"/>
    <tableColumn id="3" xr3:uid="{A7CD4CED-DF1E-4362-A6E0-0F6DFE3B73F7}" name="AC Bonus"/>
    <tableColumn id="4" xr3:uid="{89F1E54F-CDE8-4922-A58C-6074686EE3F8}" name="Applied AC Bonus" dataDxfId="182">
      <calculatedColumnFormula>IF(Table5557117[[#This Row],[Active]]="Yes",Table5557117[[#This Row],[AC Bonus]],"")</calculatedColumnFormula>
    </tableColum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C4B9B807-88D6-478D-AD15-4ECCC40A91D3}" name="Table54118" displayName="Table54118" ref="G56:M68" totalsRowCount="1" headerRowDxfId="181">
  <autoFilter ref="G56:M67" xr:uid="{C266A011-4475-49A4-AD1F-92D5B0D0121E}"/>
  <tableColumns count="7">
    <tableColumn id="1" xr3:uid="{5B0338BA-ED84-4268-87FF-1E418A95BA78}" name="Name" totalsRowLabel="Total"/>
    <tableColumn id="2" xr3:uid="{E5777AB6-CB4C-48CF-901A-527818C5FB7E}" name="Strength Bonus" totalsRowFunction="custom">
      <totalsRowFormula>$B$2+SUBTOTAL(109,Table54118[Strength Bonus])</totalsRowFormula>
    </tableColumn>
    <tableColumn id="3" xr3:uid="{EA7D804C-281F-415C-899B-B00312A8925A}" name="Dexterity Bonus" totalsRowFunction="custom">
      <totalsRowFormula>$B$3+SUBTOTAL(109,Table54118[Dexterity Bonus])</totalsRowFormula>
    </tableColumn>
    <tableColumn id="4" xr3:uid="{1237604C-57D2-4C33-B0DA-E6115DB18897}" name="Constitution Bonus" totalsRowFunction="custom">
      <totalsRowFormula>$B$4+SUBTOTAL(109,Table54118[Constitution Bonus])</totalsRowFormula>
    </tableColumn>
    <tableColumn id="5" xr3:uid="{11BAA79E-86AB-49E2-932E-81B48865057E}" name="Intelligence Bonus" totalsRowFunction="custom">
      <totalsRowFormula>$B$5+SUBTOTAL(109,Table54118[Intelligence Bonus])</totalsRowFormula>
    </tableColumn>
    <tableColumn id="6" xr3:uid="{9FDB84A0-FBB2-462B-AEF3-34A7A22FE51F}" name="Wisdom Bonus" totalsRowFunction="custom">
      <totalsRowFormula>$B$6+SUBTOTAL(109,Table54118[Wisdom Bonus])</totalsRowFormula>
    </tableColumn>
    <tableColumn id="7" xr3:uid="{957D27D6-E5B3-48A6-81F0-A25F40123BC0}" name="Charisma Bonus" totalsRowFunction="custom">
      <totalsRowFormula>$B$7+SUBTOTAL(109,Table54118[Charisma Bonus])</totalsRowFormula>
    </tableColumn>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A6F7D6-D0FA-41D5-8637-4546B444DF33}" name="Table5" displayName="Table5" ref="A1:E7" totalsRowShown="0">
  <autoFilter ref="A1:E7" xr:uid="{DFA6F7D6-D0FA-41D5-8637-4546B444DF33}"/>
  <tableColumns count="5">
    <tableColumn id="1" xr3:uid="{92208E50-C252-4410-AB54-BF1C432A3114}" name="Ability"/>
    <tableColumn id="2" xr3:uid="{4B1E08FE-48FF-47F7-92E9-B89057D33007}" name="Score"/>
    <tableColumn id="3" xr3:uid="{198A806C-0073-491F-82D7-1E1D4C974AE1}" name="Modifiers" dataDxfId="180">
      <calculatedColumnFormula>VLOOKUP(Table5[[#This Row],[Score]],Modifier[],2,FALSE)</calculatedColumnFormula>
    </tableColumn>
    <tableColumn id="4" xr3:uid="{69D04EE2-C120-4C62-B5AB-CB69166AB3D4}" name="Proficiency?"/>
    <tableColumn id="5" xr3:uid="{3E864D42-7F2C-49A1-A0DA-76B6E2C2BBDB}" name="Saving Throw" dataDxfId="179">
      <calculatedColumnFormula>IF(Table5[[#This Row],[Proficiency?]]="No",Table5[[#This Row],[Modifiers]],VLOOKUP($F$16,Proficiency[],2,FALSE)+Table5[[#This Row],[Modifiers]])</calculatedColumnFormula>
    </tableColumn>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DBB9D55-EF1F-4093-B5D6-DE81E115B39E}" name="Table9" displayName="Table9" ref="A10:C28" totalsRowShown="0">
  <autoFilter ref="A10:C28" xr:uid="{2DBB9D55-EF1F-4093-B5D6-DE81E115B39E}"/>
  <tableColumns count="3">
    <tableColumn id="1" xr3:uid="{BA23A989-657F-47F1-BAB7-BD61F949A836}" name="Skills"/>
    <tableColumn id="2" xr3:uid="{33E6365A-3EFE-4597-AC82-9D948EEE9EF2}" name="Proficiency Level"/>
    <tableColumn id="3" xr3:uid="{5434B007-BDFF-437D-989E-39E1A5436752}" name="Bonus" dataDxfId="178">
      <calculatedColumnFormula>VLOOKUP(VLOOKUP(Table9[[#This Row],[Skills]],Table10[],2,FALSE),Table5[[Ability]:[Modifiers]],3,FALSE)+VLOOKUP(Table9[[#This Row],[Proficiency Level]],Table11[],3,FALSE)</calculatedColumnFormula>
    </tableColumn>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09F95C3-35FC-4E69-B822-D6A8D2A32F99}" name="Table13" displayName="Table13" ref="A31:D35" totalsRowShown="0">
  <autoFilter ref="A31:D35" xr:uid="{909F95C3-35FC-4E69-B822-D6A8D2A32F99}"/>
  <tableColumns count="4">
    <tableColumn id="1" xr3:uid="{92B2A84A-8AD3-4941-8AAF-2FA14EE0F37B}" name="Class"/>
    <tableColumn id="2" xr3:uid="{01F8C691-E9F4-4B3B-891D-7573868D7EE6}" name="Hit Dice"/>
    <tableColumn id="3" xr3:uid="{29FBEBF7-E748-4682-9293-0FBE96A2F148}" name="Levels"/>
    <tableColumn id="4" xr3:uid="{FABAC05D-949B-4C25-AC26-9A0797DD0829}" name="Average " dataDxfId="177">
      <calculatedColumnFormula>(((Table13[[#This Row],[Hit Dice]]/2)+0.5)+VLOOKUP("Constitution",Table5[[Ability]:[Modifiers]],3,FALSE))*Table13[[#This Row],[Levels]]</calculatedColumnFormula>
    </tableColumn>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2A06D02-23DC-463B-B070-2B331CDC7628}" name="Table4975" displayName="Table4975" ref="G26:N32" totalsRowShown="0">
  <autoFilter ref="G26:N32" xr:uid="{E2A06D02-23DC-463B-B070-2B331CDC7628}"/>
  <tableColumns count="8">
    <tableColumn id="1" xr3:uid="{A22E4A42-92E2-4CF2-BE88-1D31AC94A67B}" name="Name"/>
    <tableColumn id="2" xr3:uid="{34A66A24-CD4D-4C07-B42B-4D1C1D971BDA}" name="Bonus To Hit" dataDxfId="176">
      <calculatedColumnFormula>$C$2+VLOOKUP($F$16,Proficiency[],2,FALSE)</calculatedColumnFormula>
    </tableColumn>
    <tableColumn id="3" xr3:uid="{7B50AC27-0686-40C1-A233-99ABEDE13680}" name="# of Dice"/>
    <tableColumn id="4" xr3:uid="{DB657C3B-375F-407C-899C-E839108E1472}" name="Damage Dice"/>
    <tableColumn id="5" xr3:uid="{86930174-C8C5-45CE-8816-35106378B281}" name="Bonus Damage" dataDxfId="175">
      <calculatedColumnFormula>$C$2</calculatedColumnFormula>
    </tableColumn>
    <tableColumn id="8" xr3:uid="{39CB1EEE-A59D-45F9-98D9-FEDC3C624A49}" name="Average Damage" dataDxfId="174">
      <calculatedColumnFormula>Table4975[[#This Row],['# of Dice]]*Table4975[[#This Row],[Damage Dice]]+Table4975[[#This Row],[Bonus Damage]]</calculatedColumnFormula>
    </tableColumn>
    <tableColumn id="6" xr3:uid="{8F6E9DC4-373F-4A9D-9085-87218A985B88}" name="Description"/>
    <tableColumn id="7" xr3:uid="{5B1F008D-1546-44BB-94AA-CC312D194D97}" name="Range"/>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5D81E257-A07C-41B6-977B-06FC1E275DEB}" name="Table6276" displayName="Table6276" ref="G36:M42" totalsRowShown="0">
  <autoFilter ref="G36:M42" xr:uid="{5D81E257-A07C-41B6-977B-06FC1E275DEB}"/>
  <tableColumns count="7">
    <tableColumn id="1" xr3:uid="{7E853A01-7218-420C-929A-3AAE7B7DFF60}" name="Attack" dataDxfId="173">
      <calculatedColumnFormula>G27</calculatedColumnFormula>
    </tableColumn>
    <tableColumn id="2" xr3:uid="{583778C5-804E-4752-AF30-455436035607}" name="% to Hit" dataDxfId="172" dataCellStyle="Percent">
      <calculatedColumnFormula>VLOOKUP($K$35-VLOOKUP($F$16,Proficiency[],2,FALSE),'Rules of the Game'!$G$88:$T$108,3,FALSE)</calculatedColumnFormula>
    </tableColumn>
    <tableColumn id="5" xr3:uid="{FD0DEDBA-87B1-4A1A-B960-1AB5F14552BA}" name="AVG DMG" dataDxfId="171" dataCellStyle="Percent">
      <calculatedColumnFormula>(VLOOKUP(Table6276[[#This Row],[Attack]],Table4975[],6,FALSE)*Table6276[[#This Row],[% to Hit]])+(0.05*2*VLOOKUP(Table6276[[#This Row],[Attack]],Table4975[],6,FALSE))</calculatedColumnFormula>
    </tableColumn>
    <tableColumn id="3" xr3:uid="{BA24DA07-F0F9-4470-996E-D5575009EAE7}" name="% ADV" dataDxfId="170" dataCellStyle="Percent">
      <calculatedColumnFormula>VLOOKUP($K$35-VLOOKUP($F$16,Proficiency[],2,FALSE),'Rules of the Game'!$G$88:$T$107,6,FALSE)</calculatedColumnFormula>
    </tableColumn>
    <tableColumn id="6" xr3:uid="{95414ABB-0445-493C-B97E-BDB506CCBB39}" name="ADV DMG" dataDxfId="169" dataCellStyle="Percent">
      <calculatedColumnFormula>(VLOOKUP(Table6276[[#This Row],[Attack]],Table4975[],6,FALSE)*Table6276[[#This Row],[% ADV]])+(0.1*2*VLOOKUP(Table6276[[#This Row],[Attack]],Table4975[],6,FALSE))</calculatedColumnFormula>
    </tableColumn>
    <tableColumn id="4" xr3:uid="{57FB9FC2-9C5D-43F3-9027-4F61EA77822F}" name="% DIS" dataDxfId="168" dataCellStyle="Percent">
      <calculatedColumnFormula>VLOOKUP($K$35-VLOOKUP($F$16,Proficiency[],2,FALSE),'Rules of the Game'!$G$88:$T$108,7,FALSE)</calculatedColumnFormula>
    </tableColumn>
    <tableColumn id="7" xr3:uid="{CC3E1EA8-B40F-4A85-BB8C-B4BC7F719970}" name="DIS DMG" dataDxfId="167">
      <calculatedColumnFormula>(VLOOKUP(Table6276[[#This Row],[Attack]],Table4975[],6,FALSE)*Table6276[[#This Row],[% DIS]])+(0.0025*2*VLOOKUP(Table6276[[#This Row],[Attack]],Table4975[],6,FALSE))</calculatedColumnFormula>
    </tableColumn>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C862047-EA0A-4E8E-88A7-B54BBE5A6BB1}" name="Table5557" displayName="Table5557" ref="G45:J53" totalsRowShown="0" headerRowDxfId="166">
  <autoFilter ref="G45:J53" xr:uid="{6C862047-EA0A-4E8E-88A7-B54BBE5A6BB1}"/>
  <tableColumns count="4">
    <tableColumn id="1" xr3:uid="{38AADE2A-289D-46FB-A64F-F475D90E7A5F}" name="Active" dataCellStyle="Input"/>
    <tableColumn id="2" xr3:uid="{9C911BE8-ABED-4A9D-9667-80ED2C2C2A7B}" name="Spell"/>
    <tableColumn id="3" xr3:uid="{34F4C715-5231-4918-9645-CCC7425B046C}" name="AC Bonus"/>
    <tableColumn id="4" xr3:uid="{CC6B6BC8-BFA7-4EB0-AEED-45BF9302CF5A}" name="Applied AC Bonus" dataDxfId="165">
      <calculatedColumnFormula>IF(Table5557[[#This Row],[Active]]="Yes",Table5557[[#This Row],[AC Bonus]],"")</calculatedColumnFormula>
    </tableColumn>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C266A011-4475-49A4-AD1F-92D5B0D0121E}" name="Table54" displayName="Table54" ref="G56:M68" totalsRowCount="1" headerRowDxfId="164">
  <autoFilter ref="G56:M67" xr:uid="{C266A011-4475-49A4-AD1F-92D5B0D0121E}"/>
  <tableColumns count="7">
    <tableColumn id="1" xr3:uid="{44B1F6D8-8D7C-46BC-B39E-19458A1AF9AD}" name="Name" totalsRowLabel="Total"/>
    <tableColumn id="2" xr3:uid="{0CFF9C28-E49E-41F3-9843-4963FD0C5A15}" name="Strength Bonus" totalsRowFunction="custom">
      <totalsRowFormula>$B$2+SUBTOTAL(109,Table54[Strength Bonus])</totalsRowFormula>
    </tableColumn>
    <tableColumn id="3" xr3:uid="{A5E3A6AC-93C2-45B6-A895-82887F8BAF67}" name="Dexterity Bonus" totalsRowFunction="custom">
      <totalsRowFormula>$B$3+SUBTOTAL(109,Table54[Dexterity Bonus])</totalsRowFormula>
    </tableColumn>
    <tableColumn id="4" xr3:uid="{DF599998-4C7E-46CE-89B2-F91B0B7F69AC}" name="Constitution Bonus" totalsRowFunction="custom">
      <totalsRowFormula>$B$4+SUBTOTAL(109,Table54[Constitution Bonus])</totalsRowFormula>
    </tableColumn>
    <tableColumn id="5" xr3:uid="{B5E8D569-12A3-415F-940F-DDF5A2085EE9}" name="Intelligence Bonus" totalsRowFunction="custom">
      <totalsRowFormula>$B$5+SUBTOTAL(109,Table54[Intelligence Bonus])</totalsRowFormula>
    </tableColumn>
    <tableColumn id="6" xr3:uid="{7448C2EE-1AC8-4ECB-9BF4-DC273FB79FF4}" name="Wisdom Bonus" totalsRowFunction="custom">
      <totalsRowFormula>$B$6+SUBTOTAL(109,Table54[Wisdom Bonus])</totalsRowFormula>
    </tableColumn>
    <tableColumn id="7" xr3:uid="{E78F3EAA-8858-4730-98C9-CA98B00D27C5}" name="Charisma Bonus" totalsRowFunction="custom">
      <totalsRowFormula>$B$7+SUBTOTAL(109,Table54[Charisma Bonus])</totalsRowFormula>
    </tableColumn>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7484A2E-CCE6-4A7D-9C82-A346F0D68CF3}" name="Table515" displayName="Table515" ref="A1:E7" totalsRowShown="0">
  <autoFilter ref="A1:E7" xr:uid="{DFA6F7D6-D0FA-41D5-8637-4546B444DF33}"/>
  <tableColumns count="5">
    <tableColumn id="1" xr3:uid="{8929C16A-BAB2-42FB-B715-52BDCAECEA85}" name="Ability"/>
    <tableColumn id="2" xr3:uid="{58970AD1-60F3-458B-82F9-10A50069CEE1}" name="Score"/>
    <tableColumn id="3" xr3:uid="{06A7232C-C035-445F-82DE-03DAE83C8F79}" name="Modifiers" dataDxfId="163">
      <calculatedColumnFormula>VLOOKUP(Table515[[#This Row],[Score]],Modifier[],2,FALSE)</calculatedColumnFormula>
    </tableColumn>
    <tableColumn id="4" xr3:uid="{4E010FA3-0493-402D-A22E-77782B916631}" name="Proficiency?"/>
    <tableColumn id="5" xr3:uid="{2D2F6C03-E3D5-4BCF-8F00-C39253B8A3D2}" name="Saving Throw" dataDxfId="162">
      <calculatedColumnFormula>IF(Table515[[#This Row],[Proficiency?]]="No",Table515[[#This Row],[Modifiers]],VLOOKUP($F$16,Proficiency[],2,FALSE)+Table515[[#This Row],[Modifiers]])</calculatedColumnFormula>
    </tableColumn>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A13B22C-EBC1-46E2-AD42-859273A1332C}" name="Table916" displayName="Table916" ref="A10:C28" totalsRowShown="0">
  <autoFilter ref="A10:C28" xr:uid="{2DBB9D55-EF1F-4093-B5D6-DE81E115B39E}"/>
  <tableColumns count="3">
    <tableColumn id="1" xr3:uid="{2C784F83-8F32-494C-AEF7-C3AAC4A00408}" name="Skills"/>
    <tableColumn id="2" xr3:uid="{4C576825-DE55-41EE-B44B-BC54DD2A11AF}" name="Proficiency Level"/>
    <tableColumn id="3" xr3:uid="{0604CA65-0DA2-4546-8559-5CE415462750}" name="Bonus" dataDxfId="161">
      <calculatedColumnFormula>VLOOKUP(VLOOKUP(Table916[[#This Row],[Skills]],Table10[],2,FALSE),Table5[[Ability]:[Modifiers]],3,FALSE)+VLOOKUP(Table916[[#This Row],[Proficiency Level]],Table11[],3,FALSE)</calculatedColumnFormula>
    </tableColumn>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D21095D-251E-48E7-A076-419F050F9B9B}" name="Table1317" displayName="Table1317" ref="A31:D36" totalsRowShown="0">
  <autoFilter ref="A31:D36" xr:uid="{909F95C3-35FC-4E69-B822-D6A8D2A32F99}"/>
  <tableColumns count="4">
    <tableColumn id="1" xr3:uid="{640FF608-8E18-4DAF-9AB2-655DC9034679}" name="Class"/>
    <tableColumn id="2" xr3:uid="{03E21C5E-76D0-49E8-B024-FA3660D13155}" name="Hit Dice"/>
    <tableColumn id="3" xr3:uid="{E915F345-95BA-4DAF-B131-90EE802C852B}" name="Levels"/>
    <tableColumn id="4" xr3:uid="{0473B728-1A45-4B9C-BD9E-19EEE1215382}" name="Average " dataDxfId="160">
      <calculatedColumnFormula>(((Table1317[[#This Row],[Hit Dice]]/2)+0.5)+VLOOKUP("Constitution",Table515[[Ability]:[Modifiers]],3,FALSE))*Table1317[[#This Row],[Levels]]</calculatedColumnFormula>
    </tableColumn>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365F083-7A08-4C4E-9460-43FFFF1E3827}" name="Table49" displayName="Table49" ref="H36:O39" totalsRowShown="0">
  <autoFilter ref="H36:O39" xr:uid="{5365F083-7A08-4C4E-9460-43FFFF1E3827}"/>
  <tableColumns count="8">
    <tableColumn id="1" xr3:uid="{0E052F9C-33AC-4374-8F45-8B37E001601A}" name="Name"/>
    <tableColumn id="2" xr3:uid="{D1BF3569-F001-4C91-B705-AEDB00D0FCFE}" name="Bonus To Hit" dataDxfId="159">
      <calculatedColumnFormula>$C$2+VLOOKUP($F$16,Proficiency[],2,FALSE)</calculatedColumnFormula>
    </tableColumn>
    <tableColumn id="3" xr3:uid="{C5C5C8DF-46C6-47FE-956A-F721712BF6F0}" name="# of Dice"/>
    <tableColumn id="4" xr3:uid="{11A6B4A5-6535-4F21-AE29-121B67C310DE}" name="Damage Dice"/>
    <tableColumn id="5" xr3:uid="{FDB3C40D-EAAF-4186-BECF-31395979E127}" name="Bonus Damage" dataDxfId="158">
      <calculatedColumnFormula>$C$2</calculatedColumnFormula>
    </tableColumn>
    <tableColumn id="8" xr3:uid="{4422CDFA-DFEC-4343-B596-6DB2A01B7397}" name="Average Damage" dataDxfId="157">
      <calculatedColumnFormula>Table49[[#This Row],['# of Dice]]*Table49[[#This Row],[Damage Dice]]+Table49[[#This Row],[Bonus Damage]]</calculatedColumnFormula>
    </tableColumn>
    <tableColumn id="6" xr3:uid="{8B0BA286-20C6-41BE-B689-3B1DC2B74FBC}" name="Description"/>
    <tableColumn id="7" xr3:uid="{F3B96E23-EF18-4C30-AB78-05EE17E1413F}" name="Range"/>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7C66A748-AA3B-4408-840A-5CC8FD40F07C}" name="Table62" displayName="Table62" ref="H43:N46" totalsRowShown="0">
  <autoFilter ref="H43:N46" xr:uid="{7C66A748-AA3B-4408-840A-5CC8FD40F07C}"/>
  <tableColumns count="7">
    <tableColumn id="1" xr3:uid="{F3BA2205-EC86-4329-A009-098BFFE48737}" name="Attack" dataDxfId="156">
      <calculatedColumnFormula>H37</calculatedColumnFormula>
    </tableColumn>
    <tableColumn id="2" xr3:uid="{DC73861E-9EE7-497C-8170-31A4CA9427D7}" name="% to Hit" dataDxfId="155" dataCellStyle="Percent">
      <calculatedColumnFormula>VLOOKUP($L$42-VLOOKUP($F$16,Proficiency[],2,FALSE),'Rules of the Game'!$G$88:$T$108,3,FALSE)</calculatedColumnFormula>
    </tableColumn>
    <tableColumn id="5" xr3:uid="{6A9F2741-93BF-4750-962A-8174E74D4562}" name="AVG DMG" dataDxfId="154" dataCellStyle="Percent">
      <calculatedColumnFormula>(VLOOKUP(Table62[[#This Row],[Attack]],Table49[],6,FALSE)*Table62[[#This Row],[% to Hit]])+(0.05*2*VLOOKUP(Table62[[#This Row],[Attack]],Table49[],6,FALSE))</calculatedColumnFormula>
    </tableColumn>
    <tableColumn id="3" xr3:uid="{9CE388BC-1823-4C12-AF15-07B47D359877}" name="% ADV" dataDxfId="153" dataCellStyle="Percent">
      <calculatedColumnFormula>VLOOKUP($L$42-VLOOKUP($F$16,Proficiency[],2,FALSE),'Rules of the Game'!$G$88:$T$108,5,FALSE)</calculatedColumnFormula>
    </tableColumn>
    <tableColumn id="6" xr3:uid="{7F4F6614-72D5-410D-916C-C73250F31A98}" name="ADV DMG" dataDxfId="152" dataCellStyle="Percent">
      <calculatedColumnFormula>(VLOOKUP(Table62[[#This Row],[Attack]],Table49[],6,FALSE)*Table62[[#This Row],[% ADV]])+(0.1*2*VLOOKUP(Table62[[#This Row],[Attack]],Table49[],6,FALSE))</calculatedColumnFormula>
    </tableColumn>
    <tableColumn id="4" xr3:uid="{E91DC6AF-7A80-4063-8842-63B9EB58C870}" name="% DIS" dataDxfId="151" dataCellStyle="Percent">
      <calculatedColumnFormula>VLOOKUP($L$42-VLOOKUP($F$16,Proficiency[],2,FALSE),'Rules of the Game'!$G$88:$T$108,7,FALSE)</calculatedColumnFormula>
    </tableColumn>
    <tableColumn id="7" xr3:uid="{ADA01592-0574-4FE1-BDE3-113F2D443393}" name="DIS DMG" dataDxfId="150">
      <calculatedColumnFormula>(VLOOKUP(Table62[[#This Row],[Attack]],Table49[],6,FALSE)*Table62[[#This Row],[% DIS]])+(0.0025*2*VLOOKUP(Table62[[#This Row],[Attack]],Table49[],6,FALSE))</calculatedColumnFormula>
    </tableColumn>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59E9C5B5-13D4-4C6D-9BDD-8EC67108A544}" name="Table55" displayName="Table55" ref="H49:K56" totalsRowShown="0" headerRowDxfId="149">
  <autoFilter ref="H49:K56" xr:uid="{59E9C5B5-13D4-4C6D-9BDD-8EC67108A544}"/>
  <tableColumns count="4">
    <tableColumn id="1" xr3:uid="{1E7C3877-6535-4D82-90AA-263C9D905830}" name="Active" dataCellStyle="Input"/>
    <tableColumn id="2" xr3:uid="{7F430074-4095-4482-8CA8-CA560D8D1DF4}" name="Spell"/>
    <tableColumn id="3" xr3:uid="{BC82DB14-2242-4A05-9BA0-B183AD2E7934}" name="AC Bonus"/>
    <tableColumn id="4" xr3:uid="{C7E759A3-1452-4A64-AB68-89EEBAD4184F}" name="Applied AC Bonus" dataDxfId="148">
      <calculatedColumnFormula>IF(Table55[[#This Row],[Active]]="Yes",Table55[[#This Row],[AC Bonus]],"")</calculatedColumnFormula>
    </tableColumn>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F2BA495-A80C-46A7-99EA-D0128D9FCE01}" name="Table51518" displayName="Table51518" ref="A1:E7" totalsRowShown="0">
  <autoFilter ref="A1:E7" xr:uid="{DFA6F7D6-D0FA-41D5-8637-4546B444DF33}"/>
  <tableColumns count="5">
    <tableColumn id="1" xr3:uid="{36144E16-B4CE-403D-BCF1-96F053C6D4E2}" name="Ability"/>
    <tableColumn id="2" xr3:uid="{AAEE8D31-7ACF-4100-A09D-2CCC8286F856}" name="Score"/>
    <tableColumn id="3" xr3:uid="{EE1EAB00-E99D-4312-8756-D9AD8076037B}" name="Modifiers" dataDxfId="147">
      <calculatedColumnFormula>VLOOKUP(Table51518[[#This Row],[Score]],Modifier[],2,FALSE)</calculatedColumnFormula>
    </tableColumn>
    <tableColumn id="4" xr3:uid="{D969C079-5388-442D-B327-81CF6596C536}" name="Proficiency?"/>
    <tableColumn id="5" xr3:uid="{D8299BD3-E57E-4111-ACB4-194ED133CA48}" name="Saving Throw" dataDxfId="146">
      <calculatedColumnFormula>IF(Table51518[[#This Row],[Proficiency?]]="No",Table51518[[#This Row],[Modifiers]],VLOOKUP($F$16,Proficiency[],2,FALSE)+Table51518[[#This Row],[Modifiers]])</calculatedColumnFormula>
    </tableColumn>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568CCCF-7AB6-4D8E-BF33-C238B0B0C428}" name="Table91619" displayName="Table91619" ref="A10:C28" totalsRowShown="0">
  <autoFilter ref="A10:C28" xr:uid="{2DBB9D55-EF1F-4093-B5D6-DE81E115B39E}"/>
  <tableColumns count="3">
    <tableColumn id="1" xr3:uid="{AEF4701E-486C-49E4-906B-ABFC35117EB1}" name="Skills"/>
    <tableColumn id="2" xr3:uid="{174D7865-1E7B-4CC0-9149-619924769CDF}" name="Proficiency Level"/>
    <tableColumn id="3" xr3:uid="{F319E7A6-83DD-44A4-A5CF-5EA03D15FE2B}" name="Bonus" dataDxfId="145">
      <calculatedColumnFormula>VLOOKUP(VLOOKUP(Table91619[[#This Row],[Skills]],Table10[],2,FALSE),Table5[[Ability]:[Modifiers]],3,FALSE)+VLOOKUP(Table91619[[#This Row],[Proficiency Level]],Table11[],3,FALSE)</calculatedColumnFormula>
    </tableColumn>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1CFAA8F-07B6-4629-ADE5-7F44DA258FF0}" name="Table131720" displayName="Table131720" ref="A31:D36" totalsRowShown="0">
  <autoFilter ref="A31:D36" xr:uid="{909F95C3-35FC-4E69-B822-D6A8D2A32F99}"/>
  <tableColumns count="4">
    <tableColumn id="1" xr3:uid="{246C3626-4F60-4CF0-B0EB-CF46A5193F49}" name="Class"/>
    <tableColumn id="2" xr3:uid="{C5AD8A71-1504-48DF-B6EC-0C57E6C2B8BB}" name="Hit Dice"/>
    <tableColumn id="3" xr3:uid="{19751137-1963-48BF-BF53-2EFD539A7205}" name="Levels"/>
    <tableColumn id="4" xr3:uid="{B34FEACF-0713-4509-88B4-CB10B3A3E5A2}" name="Average " dataDxfId="144">
      <calculatedColumnFormula>(((Table131720[[#This Row],[Hit Dice]]/2)+0.5)+VLOOKUP("Constitution",Table51518[[Ability]:[Modifiers]],3,FALSE))*Table131720[[#This Row],[Levels]]</calculatedColumnFormula>
    </tableColumn>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AE4322B5-5F3A-48E3-9B0E-234277337D6A}" name="Table4960" displayName="Table4960" ref="H36:P39" totalsRowShown="0">
  <autoFilter ref="H36:P39" xr:uid="{AE4322B5-5F3A-48E3-9B0E-234277337D6A}"/>
  <tableColumns count="9">
    <tableColumn id="1" xr3:uid="{1397B7FF-20E9-42F1-937E-DD9DEBEC585A}" name="Creature"/>
    <tableColumn id="9" xr3:uid="{0AB38A6C-02F8-447D-8249-3DC28002AEB4}" name="Move"/>
    <tableColumn id="2" xr3:uid="{240AE47E-E994-4371-BCD5-7E99DB9125B0}" name="Bonus To Hit" dataDxfId="143">
      <calculatedColumnFormula>$C$2+VLOOKUP($F$16,Proficiency[],2,FALSE)</calculatedColumnFormula>
    </tableColumn>
    <tableColumn id="3" xr3:uid="{A29BED8C-474D-4079-9B49-C177C1B59D69}" name="# of Dice"/>
    <tableColumn id="4" xr3:uid="{8E1E38C8-4C5F-411E-B0ED-AE21D176B0CD}" name="Damage Dice"/>
    <tableColumn id="5" xr3:uid="{1CA74761-40CC-4497-9FB6-FA56BAFBB364}" name="Bonus Damage" dataDxfId="142">
      <calculatedColumnFormula>$C$2</calculatedColumnFormula>
    </tableColumn>
    <tableColumn id="8" xr3:uid="{4E76DCD8-49D3-4B7F-B73D-DBA49D7B3563}" name="Average Damage" dataDxfId="141">
      <calculatedColumnFormula>Table4960[[#This Row],['# of Dice]]*Table4960[[#This Row],[Damage Dice]]+Table4960[[#This Row],[Bonus Damage]]</calculatedColumnFormula>
    </tableColumn>
    <tableColumn id="6" xr3:uid="{52AC28B8-9DC2-4432-9E58-46B364D175DB}" name="Description"/>
    <tableColumn id="7" xr3:uid="{B7E02E0B-4663-42CE-8B7A-0B97D66EE018}" name="Range"/>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D19A802-7531-4D8B-82E8-92593F1DB7AA}" name="Table72" displayName="Table72" ref="H42:W53" totalsRowShown="0" headerRowDxfId="140" headerRowBorderDxfId="139" tableBorderDxfId="138">
  <autoFilter ref="H42:W53" xr:uid="{ED19A802-7531-4D8B-82E8-92593F1DB7AA}"/>
  <tableColumns count="16">
    <tableColumn id="1" xr3:uid="{7FDAB463-7B8E-49EA-B0A3-AF994C98A67E}" name="Move Name"/>
    <tableColumn id="2" xr3:uid="{D19F376E-60E9-4A98-8B98-ED97F2525C6F}" name="Attack Roll or Save"/>
    <tableColumn id="3" xr3:uid="{1CA9F613-A296-4349-A59F-50CB1CCE4215}" name="Ability Score"/>
    <tableColumn id="4" xr3:uid="{FA912761-6A03-4883-9D34-45A92C6EFA13}" name="Bonus to Hit"/>
    <tableColumn id="5" xr3:uid="{EC30E428-B66E-4AFA-A830-E4816FAD2C17}" name="Save Type"/>
    <tableColumn id="6" xr3:uid="{99730936-0DE2-4C54-99D4-4B7293B6145A}" name="Save DC"/>
    <tableColumn id="7" xr3:uid="{E900E2C8-B5BE-44A9-9C23-1E749911A177}" name="# Dice"/>
    <tableColumn id="8" xr3:uid="{5CF6ACC2-7B35-47DC-8B3D-0FE7E6225F37}" name="Damage Dice"/>
    <tableColumn id="9" xr3:uid="{0D12A0D0-38F5-47E2-9B7C-98A42AB34BDD}" name="Bonus Damage" dataDxfId="137">
      <calculatedColumnFormula>VLOOKUP(Table72[[#This Row],[Ability Score]],Table51518[[Ability]:[Modifiers]],3,FALSE)</calculatedColumnFormula>
    </tableColumn>
    <tableColumn id="10" xr3:uid="{42E52028-6F3A-405E-988B-7C0AC288605F}" name="Bonus # Dice"/>
    <tableColumn id="11" xr3:uid="{AA5DCCD2-B5C0-47B5-AFAE-A6B00728B896}" name="Bonus Damage Dice"/>
    <tableColumn id="12" xr3:uid="{CAA65BC9-3915-4265-A8B1-E14D8A72535E}" name="Secondary Save Type"/>
    <tableColumn id="13" xr3:uid="{353DACAF-8029-49D1-A3F6-7D8683E0F7A7}" name="Secondary Save DC"/>
    <tableColumn id="14" xr3:uid="{91E2C561-FA1F-44E0-B6B2-23E941901735}" name="Average Damage" dataDxfId="136">
      <calculatedColumnFormula>((Table72[[#This Row],[Damage Dice]]/2)*Table72[[#This Row],['# Dice]])+((Table72[[#This Row],[Bonus Damage Dice]]/2)*Table72[[#This Row],[Bonus '# Dice]])+Table72[[#This Row],[Bonus Damage]]</calculatedColumnFormula>
    </tableColumn>
    <tableColumn id="15" xr3:uid="{AA84A003-E5F7-43A2-9F99-186173F5BA65}" name="Range"/>
    <tableColumn id="16" xr3:uid="{938D79B5-79FC-4023-9636-A0E0DA35AD29}" name="Conditions"/>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B5F4A294-77B6-44BA-9DA1-4AC3227008E2}" name="Table5586" displayName="Table5586" ref="H57:K64" totalsRowShown="0" headerRowDxfId="135">
  <autoFilter ref="H57:K64" xr:uid="{B5F4A294-77B6-44BA-9DA1-4AC3227008E2}"/>
  <tableColumns count="4">
    <tableColumn id="1" xr3:uid="{29180943-03BB-4306-9814-83E69501DA91}" name="Active" dataCellStyle="Input"/>
    <tableColumn id="2" xr3:uid="{A3520359-8F65-4CD8-91B7-EB33716BC861}" name="Spell"/>
    <tableColumn id="3" xr3:uid="{6A66B9CA-2646-43A1-9F72-60F78E8C37A0}" name="AC Bonus"/>
    <tableColumn id="4" xr3:uid="{9DF9873D-8805-4BD8-A316-0AD4F9BA5BA5}" name="Applied AC Bonus" dataDxfId="134">
      <calculatedColumnFormula>IF(Table5586[[#This Row],[Active]]="Yes",Table5586[[#This Row],[AC Bonus]],"")</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F61620A-7988-4D18-971A-8AEBAE2BB165}" name="Table5151821" displayName="Table5151821" ref="A1:E7" totalsRowShown="0">
  <autoFilter ref="A1:E7" xr:uid="{DFA6F7D6-D0FA-41D5-8637-4546B444DF33}"/>
  <tableColumns count="5">
    <tableColumn id="1" xr3:uid="{72FBCF97-5D3E-48D5-AF7A-139CCEFD9DCE}" name="Ability"/>
    <tableColumn id="2" xr3:uid="{351318F1-3527-4FF4-9935-0EF70911D7F2}" name="Score"/>
    <tableColumn id="3" xr3:uid="{DA754009-E49A-4CC1-BCFB-A401986F47D2}" name="Modifiers" dataDxfId="133">
      <calculatedColumnFormula>VLOOKUP(Table5151821[[#This Row],[Score]],Modifier[],2,FALSE)</calculatedColumnFormula>
    </tableColumn>
    <tableColumn id="4" xr3:uid="{6826087F-205F-440A-B318-6F17EC085088}" name="Proficiency?"/>
    <tableColumn id="5" xr3:uid="{47BC14E3-D5E7-4705-BB7B-B16757FDF9A5}" name="Saving Throw" dataDxfId="132">
      <calculatedColumnFormula>IF(Table5151821[[#This Row],[Proficiency?]]="No",Table5151821[[#This Row],[Modifiers]],VLOOKUP($F$16,Proficiency[],2,FALSE)+Table5151821[[#This Row],[Modifiers]])</calculatedColumnFormula>
    </tableColumn>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5FBD979-6BE4-45BB-8A9E-823F0BF0D650}" name="Table9161922" displayName="Table9161922" ref="A10:C28" totalsRowShown="0">
  <autoFilter ref="A10:C28" xr:uid="{2DBB9D55-EF1F-4093-B5D6-DE81E115B39E}"/>
  <tableColumns count="3">
    <tableColumn id="1" xr3:uid="{A6037122-59D0-41FE-AA32-F9A48AF4D795}" name="Skills"/>
    <tableColumn id="2" xr3:uid="{021D1572-3957-4CCD-A4A5-B67394C91F0C}" name="Proficiency Level"/>
    <tableColumn id="3" xr3:uid="{31156D28-2220-4608-9647-0FE30DC45A93}" name="Bonus" dataDxfId="131">
      <calculatedColumnFormula>VLOOKUP(VLOOKUP(Table9161922[[#This Row],[Skills]],Table10[],2,FALSE),Table5[[Ability]:[Modifiers]],3,FALSE)+VLOOKUP(Table9161922[[#This Row],[Proficiency Level]],Table11[],3,FALSE)</calculatedColumnFormula>
    </tableColumn>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A7E5506-78CB-492B-B5E6-80918A02060A}" name="Table13172023" displayName="Table13172023" ref="A31:D36" totalsRowShown="0">
  <autoFilter ref="A31:D36" xr:uid="{909F95C3-35FC-4E69-B822-D6A8D2A32F99}"/>
  <tableColumns count="4">
    <tableColumn id="1" xr3:uid="{19D51579-0462-48CF-A559-7E7FF5EDFFD0}" name="Class"/>
    <tableColumn id="2" xr3:uid="{16FF312C-DA4F-4459-9B28-AA13609F35A9}" name="Hit Dice"/>
    <tableColumn id="3" xr3:uid="{FFA6BECD-9EE5-47F5-8C24-DFD8C40A1D8E}" name="Levels"/>
    <tableColumn id="4" xr3:uid="{8BEBD62D-4B82-4903-8522-1745152FE3E9}" name="Average " dataDxfId="130">
      <calculatedColumnFormula>(((Table13172023[[#This Row],[Hit Dice]]/2)+0.5)+VLOOKUP("Constitution",Table5151821[[Ability]:[Modifiers]],3,FALSE))*Table13172023[[#This Row],[Levels]]</calculatedColumnFormula>
    </tableColumn>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99BD7774-7EA1-4DE4-BB85-6D4FD9C51CE2}" name="Table81" displayName="Table81" ref="H37:X43" totalsRowShown="0" headerRowDxfId="129" headerRowBorderDxfId="128" tableBorderDxfId="127">
  <autoFilter ref="H37:X43" xr:uid="{99BD7774-7EA1-4DE4-BB85-6D4FD9C51CE2}"/>
  <tableColumns count="17">
    <tableColumn id="1" xr3:uid="{8A496C0D-E6EC-4E51-9725-1E0F71C22E93}" name="Creature"/>
    <tableColumn id="2" xr3:uid="{697EB4C7-857C-49AB-91F9-B1FB9F322C8D}" name="Move Name"/>
    <tableColumn id="3" xr3:uid="{92640C7E-3743-4EBF-B4D9-E658166E9DD8}" name="Attack Roll or Save"/>
    <tableColumn id="4" xr3:uid="{1E2B30FF-EDF1-4A2E-8DDD-F09A0DDE2DDA}" name="Ability Score"/>
    <tableColumn id="5" xr3:uid="{3D652271-411B-4659-A756-571BFCFB6568}" name="Bonus to Hit"/>
    <tableColumn id="6" xr3:uid="{23A9EAD0-0E8C-42EA-84F7-7CB4A97E6CB2}" name="Save Type"/>
    <tableColumn id="7" xr3:uid="{50B5465F-6B30-465F-861F-9D2F39A4E68A}" name="Save DC"/>
    <tableColumn id="8" xr3:uid="{D123E3C5-8F9E-4C3D-BBBF-BEF7E6443209}" name="# Dice"/>
    <tableColumn id="9" xr3:uid="{BE277F49-E692-4EE3-B0E2-EF7C7F95F772}" name="Damage Dice"/>
    <tableColumn id="10" xr3:uid="{F4ABA4FE-960B-4CAB-B0A4-FE2F6CC65EE1}" name="Bonus Damage"/>
    <tableColumn id="11" xr3:uid="{BE57A057-4714-4D0F-8B49-A7083D07A71C}" name="Bonus # Dice"/>
    <tableColumn id="12" xr3:uid="{61F7D642-CE0D-4CE1-9251-2144ABEFD983}" name="Bonus Damage Dice"/>
    <tableColumn id="13" xr3:uid="{1BB7119A-6A9B-4527-A85B-A9AB0B0C281D}" name="Secondary Save Type"/>
    <tableColumn id="14" xr3:uid="{A25BEC24-3CDD-4322-99BB-893DD546E052}" name="Secondary Save DC"/>
    <tableColumn id="15" xr3:uid="{E6503E66-5DD3-4EEE-A4F8-5C1974B05E40}" name="Average Damage" dataDxfId="126">
      <calculatedColumnFormula>((Table81[[#This Row],[Damage Dice]]/2)*Table81[[#This Row],['# Dice]])+(Table81[[#This Row],[Bonus Damage Dice]]/2)*Table81[[#This Row],[Bonus '# Dice]]+Table81[[#This Row],[Bonus Damage]]</calculatedColumnFormula>
    </tableColumn>
    <tableColumn id="16" xr3:uid="{5749F16E-F46E-4C16-A4B2-3164A2610866}" name="Range"/>
    <tableColumn id="17" xr3:uid="{B5C78C3B-CE72-4CBB-8897-FD8A43ADA792}" name="Conditions"/>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04B1F083-C98E-4B49-965D-A70886645A16}" name="Table558687" displayName="Table558687" ref="H47:K54" totalsRowShown="0" headerRowDxfId="125">
  <autoFilter ref="H47:K54" xr:uid="{04B1F083-C98E-4B49-965D-A70886645A16}"/>
  <tableColumns count="4">
    <tableColumn id="1" xr3:uid="{96A97B16-B2D8-42F6-91F3-4A55E20B68CF}" name="Active" dataCellStyle="Input"/>
    <tableColumn id="2" xr3:uid="{06A7B478-6EEF-4886-82D1-BBAE1F2F7169}" name="Spell"/>
    <tableColumn id="3" xr3:uid="{E95BD899-1CA6-4E9C-B5B2-87B612368169}" name="AC Bonus"/>
    <tableColumn id="4" xr3:uid="{52EB8141-8DE9-4F4E-A90B-7016C014BF52}" name="Applied AC Bonus" dataDxfId="124">
      <calculatedColumnFormula>IF(Table558687[[#This Row],[Active]]="Yes",Table558687[[#This Row],[AC Bonus]],"")</calculatedColumnFormula>
    </tableColumn>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0E31007-F1A6-49AD-85CB-CE4B104B0880}" name="Table51524" displayName="Table51524" ref="A1:E7" totalsRowShown="0">
  <autoFilter ref="A1:E7" xr:uid="{DFA6F7D6-D0FA-41D5-8637-4546B444DF33}"/>
  <tableColumns count="5">
    <tableColumn id="1" xr3:uid="{5F00F797-F274-47C4-A411-12EC54C904F8}" name="Ability"/>
    <tableColumn id="2" xr3:uid="{8DF5BDDF-51B1-4579-B035-648369AD3C4A}" name="Score"/>
    <tableColumn id="3" xr3:uid="{1A22C7F2-2536-4C55-9427-E4CCB337E46F}" name="Modifiers" dataDxfId="123">
      <calculatedColumnFormula>VLOOKUP(Table51524[[#This Row],[Score]],Modifier[],2,FALSE)</calculatedColumnFormula>
    </tableColumn>
    <tableColumn id="4" xr3:uid="{3EED1F82-C0FB-447F-A346-A9D5F8709C9A}" name="Proficiency?"/>
    <tableColumn id="5" xr3:uid="{8D84EFE7-3985-401A-A5DE-1BACEDB910A9}" name="Saving Throw" dataDxfId="122">
      <calculatedColumnFormula>IF(Table51524[[#This Row],[Proficiency?]]="No",Table51524[[#This Row],[Modifiers]],VLOOKUP($F$16,Proficiency[],2,FALSE)+Table51524[[#This Row],[Modifiers]])</calculatedColumnFormula>
    </tableColumn>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F4B2F33-B68F-494C-A959-562B1E8525CB}" name="Table91625" displayName="Table91625" ref="A10:C28" totalsRowShown="0">
  <autoFilter ref="A10:C28" xr:uid="{2DBB9D55-EF1F-4093-B5D6-DE81E115B39E}"/>
  <tableColumns count="3">
    <tableColumn id="1" xr3:uid="{DF3E01E5-73DC-4AB5-AC18-9384A00EBFB5}" name="Skills"/>
    <tableColumn id="2" xr3:uid="{8426084D-69CF-4960-9066-D956FFDDCFEE}" name="Proficiency Level"/>
    <tableColumn id="3" xr3:uid="{60819D17-2DD9-4D97-88D1-AF6B3F491BD2}" name="Bonus" dataDxfId="121">
      <calculatedColumnFormula>VLOOKUP(VLOOKUP(Table91625[[#This Row],[Skills]],Table10[],2,FALSE),Table5[[Ability]:[Modifiers]],3,FALSE)+VLOOKUP(Table91625[[#This Row],[Proficiency Level]],Table11[],3,FALSE)</calculatedColumnFormula>
    </tableColumn>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4E6F77B-F8B7-4F61-894B-BBE71911E0B3}" name="Table131726" displayName="Table131726" ref="A31:D36" totalsRowShown="0">
  <autoFilter ref="A31:D36" xr:uid="{909F95C3-35FC-4E69-B822-D6A8D2A32F99}"/>
  <tableColumns count="4">
    <tableColumn id="1" xr3:uid="{EFAE832C-760F-4AAB-95F9-3516EC08CDC6}" name="Class"/>
    <tableColumn id="2" xr3:uid="{1885CFED-A919-4457-A1AA-831E7BA38784}" name="Hit Dice"/>
    <tableColumn id="3" xr3:uid="{CA52A991-3747-4A8E-9678-9281564E70A8}" name="Levels"/>
    <tableColumn id="4" xr3:uid="{BEBEBE02-89AA-46E6-B5E0-B1E6C055C704}" name="Average " dataDxfId="120">
      <calculatedColumnFormula>(((Table131726[[#This Row],[Hit Dice]]/2)+0.5)+VLOOKUP("Constitution",Table51524[[Ability]:[Modifiers]],3,FALSE))*Table131726[[#This Row],[Levels]]</calculatedColumnFormula>
    </tableColumn>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344BEC23-CA6F-4016-A73A-6A0AADB9D3F0}" name="Table71" displayName="Table71" ref="F35:V40" totalsRowShown="0" headerRowDxfId="119" headerRowBorderDxfId="118" tableBorderDxfId="117" totalsRowBorderDxfId="116">
  <autoFilter ref="F35:V40" xr:uid="{344BEC23-CA6F-4016-A73A-6A0AADB9D3F0}"/>
  <tableColumns count="17">
    <tableColumn id="1" xr3:uid="{4F5A853A-63C5-4983-A3C8-439A6F2821E6}" name="Creature"/>
    <tableColumn id="2" xr3:uid="{BAD5A671-7247-45A4-9F04-A7CB49E77413}" name="Move Name"/>
    <tableColumn id="3" xr3:uid="{195E75BB-E719-426C-BD56-1160A23DAAED}" name="Attack Roll or Save"/>
    <tableColumn id="4" xr3:uid="{CDC17AE0-55F0-4F30-8675-D9A87B1B548F}" name="Ability Score"/>
    <tableColumn id="5" xr3:uid="{25BFBC67-6F6E-4779-9A6B-782861ADB3F4}" name="Bonus to Hit" dataDxfId="115">
      <calculatedColumnFormula>VLOOKUP(Table71[[#This Row],[Ability Score]],Table51524[],3,FALSE)+VLOOKUP($F$16,Proficiency[],2,FALSE)</calculatedColumnFormula>
    </tableColumn>
    <tableColumn id="6" xr3:uid="{7F72DAA0-E0E3-4343-BE77-DD3447ED9BC0}" name="Save Type"/>
    <tableColumn id="7" xr3:uid="{B0CAB925-302C-43DE-93F2-36FD1D737729}" name="Save DC"/>
    <tableColumn id="8" xr3:uid="{73638BEF-3249-46A7-8DCD-2970B9AAE355}" name="# Dice"/>
    <tableColumn id="9" xr3:uid="{3DE5C2BA-18AA-4FD4-BC50-19F55067A289}" name="Damage Dice"/>
    <tableColumn id="10" xr3:uid="{85142082-AC07-41AD-8CF0-EEFA6EFFD9F7}" name="Bonus Damage" dataDxfId="114">
      <calculatedColumnFormula>VLOOKUP(Table71[[#This Row],[Ability Score]],Table51524[[Ability]:[Modifiers]],3,FALSE)</calculatedColumnFormula>
    </tableColumn>
    <tableColumn id="14" xr3:uid="{49FD2A02-BB3C-4F05-A892-6EA0A593AB89}" name="Bonus # Dice"/>
    <tableColumn id="15" xr3:uid="{08AA43F7-12BC-448B-BC9A-290BD22D72CC}" name="Bonus Damage Dice"/>
    <tableColumn id="16" xr3:uid="{4C268045-B04C-47F5-9873-919769C5EBC6}" name="Secondary Save Type"/>
    <tableColumn id="17" xr3:uid="{5F6B7879-6310-4F5E-BA90-28F5B5984797}" name="Secondary Save DC"/>
    <tableColumn id="11" xr3:uid="{34C38159-DD58-4BE7-BE15-029E84903C99}" name="Average Damage" dataDxfId="113">
      <calculatedColumnFormula>((Table71[[#This Row],[Damage Dice]]/2)*Table71[[#This Row],['# Dice]])+(Table71[[#This Row],[Bonus Damage Dice]]/2)*Table71[[#This Row],[Bonus '# Dice]]</calculatedColumnFormula>
    </tableColumn>
    <tableColumn id="12" xr3:uid="{1D137B78-596E-409D-AAB8-80D3E46457DB}" name="Range"/>
    <tableColumn id="13" xr3:uid="{7F7C162B-F097-4D29-A94F-A98340E69C3A}" name="Conditions"/>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9616C4CC-B237-4411-87EB-ACB826463F66}" name="Table55868789" displayName="Table55868789" ref="F43:I50" totalsRowShown="0" headerRowDxfId="112">
  <autoFilter ref="F43:I50" xr:uid="{9616C4CC-B237-4411-87EB-ACB826463F66}"/>
  <tableColumns count="4">
    <tableColumn id="1" xr3:uid="{A825BD40-1BDA-46D6-83FB-FDD1CBEB0F4E}" name="Active" dataCellStyle="Input"/>
    <tableColumn id="2" xr3:uid="{6CDFB3F6-E8D4-4B8E-A2BE-0CF9BAAA3894}" name="Spell"/>
    <tableColumn id="3" xr3:uid="{1253B02F-2DB0-4080-A11F-56BE48D8009A}" name="AC Bonus"/>
    <tableColumn id="4" xr3:uid="{71835944-BD89-4F4F-BF93-EDDA02B74DFA}" name="Applied AC Bonus" dataDxfId="111">
      <calculatedColumnFormula>IF(Table55868789[[#This Row],[Active]]="Yes",Table55868789[[#This Row],[AC Bonus]],"")</calculatedColumnFormula>
    </tableColumn>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E0A7947-879F-4698-A7A5-8A9B8DD84CD9}" name="Table5152427" displayName="Table5152427" ref="A1:E7" totalsRowShown="0">
  <autoFilter ref="A1:E7" xr:uid="{DFA6F7D6-D0FA-41D5-8637-4546B444DF33}"/>
  <tableColumns count="5">
    <tableColumn id="1" xr3:uid="{8F559565-4EB6-47D0-BF4A-FE85E1EDC0C2}" name="Ability"/>
    <tableColumn id="2" xr3:uid="{CA0AC8FD-237A-4E52-AF4C-5B80DCC18847}" name="Score"/>
    <tableColumn id="3" xr3:uid="{EEB24C06-E19A-4FDF-AE5D-C106D6A9F0E3}" name="Modifiers" dataDxfId="110">
      <calculatedColumnFormula>VLOOKUP(Table5152427[[#This Row],[Score]],Modifier[],2,FALSE)</calculatedColumnFormula>
    </tableColumn>
    <tableColumn id="4" xr3:uid="{4DA1C88F-85C5-40A1-AFC9-60061C740E16}" name="Proficiency?"/>
    <tableColumn id="5" xr3:uid="{1B5F0C12-5E6E-4A88-B8F7-1D1122E33F84}" name="Saving Throw" dataDxfId="109">
      <calculatedColumnFormula>IF(Table5152427[[#This Row],[Proficiency?]]="No",Table5152427[[#This Row],[Modifiers]],VLOOKUP($F$16,Proficiency[],2,FALSE)+Table5152427[[#This Row],[Modifiers]])</calculatedColumnFormula>
    </tableColumn>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1736C58-1F81-4A6F-9196-88D57E8953F5}" name="Table9162528" displayName="Table9162528" ref="A10:C28" totalsRowShown="0">
  <autoFilter ref="A10:C28" xr:uid="{2DBB9D55-EF1F-4093-B5D6-DE81E115B39E}"/>
  <tableColumns count="3">
    <tableColumn id="1" xr3:uid="{19BF2D8D-B435-4A40-94C9-8C0B13BFFD0E}" name="Skills"/>
    <tableColumn id="2" xr3:uid="{3388AD5C-2ADA-49B8-A512-45414C05FB77}" name="Proficiency Level"/>
    <tableColumn id="3" xr3:uid="{AF95CFD8-2A2D-457C-A393-05283D2A9E3F}" name="Bonus" dataDxfId="108">
      <calculatedColumnFormula>VLOOKUP(VLOOKUP(Table9162528[[#This Row],[Skills]],Table10[],2,FALSE),Table5[[Ability]:[Modifiers]],3,FALSE)+VLOOKUP(Table9162528[[#This Row],[Proficiency Level]],Table11[],3,FALSE)</calculatedColumnFormula>
    </tableColumn>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9D7834A-A114-4FE9-8CCC-A19CE46C0BB7}" name="Table13172629" displayName="Table13172629" ref="A31:D36" totalsRowShown="0">
  <autoFilter ref="A31:D36" xr:uid="{909F95C3-35FC-4E69-B822-D6A8D2A32F99}"/>
  <tableColumns count="4">
    <tableColumn id="1" xr3:uid="{4849C653-89E2-4CA7-BD5D-CC99DA702887}" name="Class"/>
    <tableColumn id="2" xr3:uid="{321D32FC-CF3C-4B2D-BC62-2875FD158ECD}" name="Hit Dice"/>
    <tableColumn id="3" xr3:uid="{4589D449-C7C1-475B-B8CF-164E92ECCA58}" name="Levels"/>
    <tableColumn id="4" xr3:uid="{FDF6AD53-79CF-471C-82D7-E2232291C30E}" name="Average " dataDxfId="107">
      <calculatedColumnFormula>(((Table13172629[[#This Row],[Hit Dice]]/2)+0.5)+VLOOKUP("Constitution",Table5152427[[Ability]:[Modifiers]],3,FALSE))*Table13172629[[#This Row],[Levels]]</calculatedColumnFormula>
    </tableColumn>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6006AB74-CFAC-4DD1-88A2-FAB56FB2E73D}" name="Table78" displayName="Table78" ref="F31:V32" totalsRowShown="0" headerRowDxfId="106" headerRowBorderDxfId="105" tableBorderDxfId="104">
  <autoFilter ref="F31:V32" xr:uid="{6006AB74-CFAC-4DD1-88A2-FAB56FB2E73D}"/>
  <tableColumns count="17">
    <tableColumn id="1" xr3:uid="{94910644-6BAD-4D5E-8BFD-CF6A160DA76D}" name="Creature"/>
    <tableColumn id="2" xr3:uid="{CBF18936-C802-46CF-96E5-CBF2FF3435A3}" name="Move Name"/>
    <tableColumn id="3" xr3:uid="{8E6A29BB-5A95-44AB-9B1B-B8A169CE62D1}" name="Attack Roll or Save"/>
    <tableColumn id="4" xr3:uid="{ECAD7AA5-516A-460C-B96E-D4849E353063}" name="Ability Score"/>
    <tableColumn id="5" xr3:uid="{2006C901-6934-4F99-B838-7C1F58841F12}" name="Bonus to Hit" dataDxfId="103">
      <calculatedColumnFormula>4+VLOOKUP($F$16,Proficiency[],2,FALSE)</calculatedColumnFormula>
    </tableColumn>
    <tableColumn id="6" xr3:uid="{C6C86002-0767-4944-9833-3D61BC3E579A}" name="Save Type"/>
    <tableColumn id="7" xr3:uid="{285A6DC4-6F38-4A17-A906-8955512C0638}" name="Save DC"/>
    <tableColumn id="8" xr3:uid="{8B79E972-92F2-4A50-918D-021F34018439}" name="# Dice"/>
    <tableColumn id="9" xr3:uid="{3C56FE02-859C-4650-A93A-1B7F0333F69F}" name="Damage Dice"/>
    <tableColumn id="10" xr3:uid="{8FCC344B-426D-4AEF-98EE-F35FC0C3EB62}" name="Bonus Damage"/>
    <tableColumn id="11" xr3:uid="{8949E00C-C6D8-48D2-AA26-36C889DDA6CF}" name="Bonus # Dice"/>
    <tableColumn id="12" xr3:uid="{A03BBB7D-0398-458A-B804-BDFFB2D4A43E}" name="Bonus Damage Dice"/>
    <tableColumn id="13" xr3:uid="{D4229FFF-2A23-4580-9B30-9911225DCE58}" name="Secondary Save Type"/>
    <tableColumn id="14" xr3:uid="{75E8AED8-E0A4-418B-A6DF-868ED803CC25}" name="Secondary Save DC"/>
    <tableColumn id="15" xr3:uid="{31D77B2C-ED6A-40EE-8388-229143FEB9B8}" name="Average Damage">
      <calculatedColumnFormula>((Table78[[#This Row],[Damage Dice]]/2)*Table78[[#This Row],['# Dice]])+((Table78[[#This Row],[Bonus Damage Dice]]/2)*Table78[[#This Row],[Bonus '# Dice]])+Table78[[#This Row],[Bonus Damage]]</calculatedColumnFormula>
    </tableColumn>
    <tableColumn id="16" xr3:uid="{014C5EBD-DB1A-4981-95B5-B18E03E7E9BA}" name="Range"/>
    <tableColumn id="17" xr3:uid="{452130D6-C9C6-4658-AC7F-69995CD017F6}" name="Conditions"/>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6276052D-F959-4DD2-8D86-CD19369E9561}" name="Table5586878990" displayName="Table5586878990" ref="F36:I43" totalsRowShown="0" headerRowDxfId="102">
  <autoFilter ref="F36:I43" xr:uid="{6276052D-F959-4DD2-8D86-CD19369E9561}"/>
  <tableColumns count="4">
    <tableColumn id="1" xr3:uid="{5212B49A-02F9-4882-970D-3A53FEC485BD}" name="Active" dataCellStyle="Input"/>
    <tableColumn id="2" xr3:uid="{68D0226A-4DA9-4F67-B666-8EF13A258764}" name="Spell"/>
    <tableColumn id="3" xr3:uid="{7BDF712A-E83A-418A-A5EB-58962B6EF32D}" name="AC Bonus"/>
    <tableColumn id="4" xr3:uid="{1D071200-1807-4725-9604-BD228A3B4B0E}" name="Applied AC Bonus" dataDxfId="101">
      <calculatedColumnFormula>IF(Table5586878990[[#This Row],[Active]]="Yes",Table5586878990[[#This Row],[AC Bonus]],"")</calculatedColumnFormula>
    </tableColumn>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ADC38E1-129E-4226-951A-C0F36A48C098}" name="Table515242730" displayName="Table515242730" ref="A1:E7" totalsRowShown="0">
  <autoFilter ref="A1:E7" xr:uid="{DFA6F7D6-D0FA-41D5-8637-4546B444DF33}"/>
  <tableColumns count="5">
    <tableColumn id="1" xr3:uid="{1BC10E7D-55CE-46F2-BDA7-7D1364348960}" name="Ability"/>
    <tableColumn id="2" xr3:uid="{DED94B81-51FF-4AB0-BD92-DF08B3CC5837}" name="Score"/>
    <tableColumn id="3" xr3:uid="{4FB34339-4FC6-400F-98F0-71B428152455}" name="Modifiers" dataDxfId="100">
      <calculatedColumnFormula>VLOOKUP(Table515242730[[#This Row],[Score]],Modifier[],2,FALSE)</calculatedColumnFormula>
    </tableColumn>
    <tableColumn id="4" xr3:uid="{DB5C457A-71AD-47F8-936C-880264CE2DE3}" name="Proficiency?"/>
    <tableColumn id="5" xr3:uid="{E0A4A736-DE50-4159-BD65-362A9EC48535}" name="Saving Throw" dataDxfId="99">
      <calculatedColumnFormula>IF(Table515242730[[#This Row],[Proficiency?]]="No",Table515242730[[#This Row],[Modifiers]],VLOOKUP($F$16,Proficiency[],2,FALSE)+Table515242730[[#This Row],[Modifiers]])</calculatedColumnFormula>
    </tableColumn>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5F75474-2773-4A44-B1FA-E4EA52A0DBC0}" name="Table916252831" displayName="Table916252831" ref="A10:C28" totalsRowShown="0">
  <autoFilter ref="A10:C28" xr:uid="{2DBB9D55-EF1F-4093-B5D6-DE81E115B39E}"/>
  <tableColumns count="3">
    <tableColumn id="1" xr3:uid="{636165B1-685F-44C3-B498-98C453844B1D}" name="Skills"/>
    <tableColumn id="2" xr3:uid="{9BC9FA63-B3A5-4A65-A122-EAE7B74FDB7B}" name="Proficiency Level"/>
    <tableColumn id="3" xr3:uid="{8ABE4ADE-6CD6-423D-975E-182A512428C4}" name="Bonus" dataDxfId="98">
      <calculatedColumnFormula>VLOOKUP(VLOOKUP(Table916252831[[#This Row],[Skills]],Table10[],2,FALSE),Table5[[Ability]:[Modifiers]],3,FALSE)+VLOOKUP(Table916252831[[#This Row],[Proficiency Level]],Table11[],3,FALSE)</calculatedColumnFormula>
    </tableColumn>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28B5EA7-35F9-4899-AE43-E35DFB5215E0}" name="Table1317262932" displayName="Table1317262932" ref="A31:D36" totalsRowShown="0">
  <autoFilter ref="A31:D36" xr:uid="{909F95C3-35FC-4E69-B822-D6A8D2A32F99}"/>
  <tableColumns count="4">
    <tableColumn id="1" xr3:uid="{01FBCB02-B80D-42DC-A522-486E2E92D9C5}" name="Class"/>
    <tableColumn id="2" xr3:uid="{9D4C1894-FCEE-4900-97FB-E39985BF7AB3}" name="Hit Dice"/>
    <tableColumn id="3" xr3:uid="{C0A1E006-77B9-4C63-A846-D1FA7E4BD7A8}" name="Levels"/>
    <tableColumn id="4" xr3:uid="{70804974-B4D0-4F9E-AB53-833F8C63FF09}" name="Average " dataDxfId="97">
      <calculatedColumnFormula>(((Table1317262932[[#This Row],[Hit Dice]]/2)+0.5)+VLOOKUP("Constitution",Table515242730[[Ability]:[Modifiers]],3,FALSE))*Table1317262932[[#This Row],[Levels]]</calculatedColumnFormula>
    </tableColumn>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8318A0D5-B28C-4379-9300-E50924AA3374}" name="Table73" displayName="Table73" ref="F30:U34" totalsRowShown="0" headerRowDxfId="96" headerRowBorderDxfId="95" tableBorderDxfId="94">
  <autoFilter ref="F30:U34" xr:uid="{8318A0D5-B28C-4379-9300-E50924AA3374}"/>
  <tableColumns count="16">
    <tableColumn id="1" xr3:uid="{9AFC562B-C871-4794-8633-012A8BFA4CB1}" name="Move Name"/>
    <tableColumn id="2" xr3:uid="{0C82DA50-A0EE-4EA2-8A3D-1C58E8B8A1B5}" name="Attack Roll or Save"/>
    <tableColumn id="3" xr3:uid="{A173A9B8-E978-493A-83E3-D23CC2DE3D68}" name="Ability Score"/>
    <tableColumn id="4" xr3:uid="{9ED3876F-B5E5-4442-B3DE-9DD3E6550ACF}" name="Bonus to Hit" dataDxfId="93">
      <calculatedColumnFormula>VLOOKUP(Table73[[#This Row],[Ability Score]],Table515242730[[Ability]:[Modifiers]],3,FALSE)+VLOOKUP($F$16,Proficiency[],2,FALSE)</calculatedColumnFormula>
    </tableColumn>
    <tableColumn id="5" xr3:uid="{039F635E-E8D3-4DC6-B379-D62615CEC358}" name="Save Type"/>
    <tableColumn id="6" xr3:uid="{55AED025-FFE3-49F4-977B-6F5783FDA9B3}" name="Save DC"/>
    <tableColumn id="7" xr3:uid="{CBB40AA7-EBF9-4A06-B3C3-AB9BC3E9C550}" name="# Dice"/>
    <tableColumn id="8" xr3:uid="{073334F2-38FD-4076-9891-3CC4567EACE8}" name="Damage Dice"/>
    <tableColumn id="9" xr3:uid="{821B1BD6-65D7-45CE-80D5-297D07BE9CE4}" name="Bonus Damage" dataDxfId="92">
      <calculatedColumnFormula>VLOOKUP(Table73[[#This Row],[Ability Score]],Table515242730[[Ability]:[Modifiers]],3,FALSE)</calculatedColumnFormula>
    </tableColumn>
    <tableColumn id="10" xr3:uid="{7575BCC3-E11B-41B7-9366-BAF40A8FA9A4}" name="Bonus # Dice"/>
    <tableColumn id="11" xr3:uid="{AF814C06-6171-4D47-B09F-565079094722}" name="Bonus Damage Dice"/>
    <tableColumn id="12" xr3:uid="{9ACCFDE8-73E1-451D-A044-D8A63FCD4B7D}" name="Secondary Save Type"/>
    <tableColumn id="13" xr3:uid="{BA18DE83-827A-42DC-B4C7-8EAD2B767A49}" name="Secondary Save DC" dataDxfId="91">
      <calculatedColumnFormula>8+Table73[[#This Row],[Bonus Damage]]+VLOOKUP($F$16,Proficiency[],2,FALSE)</calculatedColumnFormula>
    </tableColumn>
    <tableColumn id="14" xr3:uid="{0B48F16C-74F5-47CA-9368-E97863C43316}" name="Average Damage" dataDxfId="90">
      <calculatedColumnFormula>((Table73[[#This Row],[Damage Dice]]/2)*Table73[[#This Row],['# Dice]])+(Table73[[#This Row],[Bonus Damage Dice]]/2)*Table73[[#This Row],[Bonus '# Dice]]+Table73[[#This Row],[Bonus Damage]]</calculatedColumnFormula>
    </tableColumn>
    <tableColumn id="15" xr3:uid="{8052F8BD-D476-4593-A2C3-220914FA307C}" name="Range"/>
    <tableColumn id="16" xr3:uid="{A7011576-1768-4410-8E7F-EE17ABF5C617}" name="Conditions"/>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90AD75E8-39BD-4C8F-9FE1-F06425DA419F}" name="Table558687899091" displayName="Table558687899091" ref="F38:I45" totalsRowShown="0" headerRowDxfId="89">
  <autoFilter ref="F38:I45" xr:uid="{90AD75E8-39BD-4C8F-9FE1-F06425DA419F}"/>
  <tableColumns count="4">
    <tableColumn id="1" xr3:uid="{D45E0A50-1A79-4619-9F1C-A0130E4778FD}" name="Active" dataCellStyle="Input"/>
    <tableColumn id="2" xr3:uid="{F8B63A5A-2E47-4656-BB47-81CD9CFA0E5B}" name="Spell"/>
    <tableColumn id="3" xr3:uid="{1DC0DBE6-3C8E-487B-ABAF-98E3B67BCAFE}" name="AC Bonus"/>
    <tableColumn id="4" xr3:uid="{E382355A-DA41-4708-9BDC-2BEEDB0D2CCA}" name="Applied AC Bonus" dataDxfId="88">
      <calculatedColumnFormula>IF(Table558687899091[[#This Row],[Active]]="Yes",Table558687899091[[#This Row],[AC Bonus]],"")</calculatedColumnFormula>
    </tableColumn>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DDA4E41-717D-40FB-A5CE-8355286F85B1}" name="Table51524273033" displayName="Table51524273033" ref="A1:E7" totalsRowShown="0">
  <autoFilter ref="A1:E7" xr:uid="{DFA6F7D6-D0FA-41D5-8637-4546B444DF33}"/>
  <tableColumns count="5">
    <tableColumn id="1" xr3:uid="{66299EF8-AA00-4B7B-9175-6B37C73D137E}" name="Ability"/>
    <tableColumn id="2" xr3:uid="{EB3E1EB6-1CD3-4DC3-924F-5A4265833C9A}" name="Score"/>
    <tableColumn id="3" xr3:uid="{B1676BAB-2CD0-4E82-840A-434C31906D6F}" name="Modifiers" dataDxfId="87">
      <calculatedColumnFormula>VLOOKUP(Table51524273033[[#This Row],[Score]],Modifier[],2,FALSE)</calculatedColumnFormula>
    </tableColumn>
    <tableColumn id="4" xr3:uid="{F1D3495A-FE59-40A4-B646-85E985AA73CA}" name="Proficiency?"/>
    <tableColumn id="5" xr3:uid="{444C27C6-E84E-45FE-901F-00A1232F5F50}" name="Saving Throw" dataDxfId="86">
      <calculatedColumnFormula>IF(Table51524273033[[#This Row],[Proficiency?]]="No",Table51524273033[[#This Row],[Modifiers]],VLOOKUP($F$16,Proficiency[],2,FALSE)+Table51524273033[[#This Row],[Modifiers]])</calculatedColumnFormula>
    </tableColumn>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AACC65D-B9B4-49A1-9693-A58746D80C2A}" name="Table91625283134" displayName="Table91625283134" ref="A10:C28" totalsRowShown="0">
  <autoFilter ref="A10:C28" xr:uid="{2DBB9D55-EF1F-4093-B5D6-DE81E115B39E}"/>
  <tableColumns count="3">
    <tableColumn id="1" xr3:uid="{5E77BD00-5637-4DD8-8EEE-5FC142ED2C30}" name="Skills"/>
    <tableColumn id="2" xr3:uid="{74B56546-46DB-443D-A86F-B93E54B9A8DF}" name="Proficiency Level"/>
    <tableColumn id="3" xr3:uid="{AED36B29-E0C9-4174-8E22-8EBBE47D95B5}" name="Bonus" dataDxfId="85">
      <calculatedColumnFormula>VLOOKUP(VLOOKUP(Table91625283134[[#This Row],[Skills]],Table10[],2,FALSE),Table5[[Ability]:[Modifiers]],3,FALSE)+VLOOKUP(Table91625283134[[#This Row],[Proficiency Level]],Table11[],3,FALSE)</calculatedColumnFormula>
    </tableColumn>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1E1E892-BAFB-41A5-9833-78F774124BC2}" name="Table131726293235" displayName="Table131726293235" ref="A31:D36" totalsRowShown="0">
  <autoFilter ref="A31:D36" xr:uid="{909F95C3-35FC-4E69-B822-D6A8D2A32F99}"/>
  <tableColumns count="4">
    <tableColumn id="1" xr3:uid="{982AD3A7-98C2-4940-8242-F63ED6EE5E52}" name="Class"/>
    <tableColumn id="2" xr3:uid="{A98E31D1-7142-44EE-8EB4-402108CE6BDA}" name="Hit Dice"/>
    <tableColumn id="3" xr3:uid="{A3B812A6-8C36-41C9-A655-6BA6FDD33358}" name="Levels"/>
    <tableColumn id="4" xr3:uid="{9FA9000B-3F9A-416E-A5E0-DACD266C63E4}" name="Average " dataDxfId="84">
      <calculatedColumnFormula>(((Table131726293235[[#This Row],[Hit Dice]]/2)+0.5)+VLOOKUP("Constitution",Table51524273033[[Ability]:[Modifiers]],3,FALSE))*Table131726293235[[#This Row],[Levels]]</calculatedColumnFormula>
    </tableColumn>
  </tableColumns>
  <tableStyleInfo name="TableStyleMedium2"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5EFE5645-B889-4D7F-8FB1-0335895817DA}" name="Table79" displayName="Table79" ref="H30:X32" totalsRowShown="0" headerRowDxfId="83" headerRowBorderDxfId="82" tableBorderDxfId="81">
  <autoFilter ref="H30:X32" xr:uid="{5EFE5645-B889-4D7F-8FB1-0335895817DA}"/>
  <tableColumns count="17">
    <tableColumn id="1" xr3:uid="{BF77D34F-24D4-4E35-B406-FA3086A98A86}" name="Creature"/>
    <tableColumn id="2" xr3:uid="{D9AE225E-2A17-47BF-A417-713E8186A502}" name="Move Name"/>
    <tableColumn id="3" xr3:uid="{AE4D431F-FA87-4850-A65B-7AA5BB6CDDD6}" name="Attack Roll or Save"/>
    <tableColumn id="4" xr3:uid="{D68715FE-2234-4B55-B3ED-8D05EF2EAC96}" name="Ability Score"/>
    <tableColumn id="5" xr3:uid="{B1069C69-35AE-40AE-87A3-E38AE8E51169}" name="Bonus to Hit" dataDxfId="80">
      <calculatedColumnFormula>$C$2+8</calculatedColumnFormula>
    </tableColumn>
    <tableColumn id="6" xr3:uid="{0EEAEE85-AB53-4F13-B57C-46EE6E987808}" name="Save Type"/>
    <tableColumn id="7" xr3:uid="{4AFC738C-8EC9-42C1-86DA-2196EA8C9E2A}" name="Save DC"/>
    <tableColumn id="8" xr3:uid="{63586C24-7D3C-4243-BA35-D3784E5636CA}" name="# Dice"/>
    <tableColumn id="9" xr3:uid="{A95B0FA1-A993-47BE-800B-01E1B6C2A88D}" name="Damage Dice"/>
    <tableColumn id="10" xr3:uid="{79CD86A0-DB91-42FE-BAAE-288A7F6D3DB1}" name="Bonus Damage"/>
    <tableColumn id="11" xr3:uid="{AB5203E6-97DA-4C48-A079-FD72A27E175E}" name="Bonus # Dice"/>
    <tableColumn id="12" xr3:uid="{18B2EC5E-2502-4E3B-B986-32CC902939E1}" name="Bonus Damage Dice"/>
    <tableColumn id="13" xr3:uid="{7550AC49-EF1A-4DF1-891A-349FB024ACBD}" name="Secondary Save Type"/>
    <tableColumn id="14" xr3:uid="{B0BBE2D3-FAC5-42C5-BAB4-03CF7B1A9B9C}" name="Secondary Save DC"/>
    <tableColumn id="15" xr3:uid="{26FAF8A7-D410-4E6F-9E2A-7AA43279B07F}" name="Average Damage" dataDxfId="79">
      <calculatedColumnFormula>((Table79[[#This Row],[Damage Dice]]/2)*Table79[[#This Row],['# Dice]])+(Table79[[#This Row],[Bonus Damage Dice]]/2)*Table79[[#This Row],[Bonus '# Dice]]+Table79[[#This Row],[Bonus Damage]]</calculatedColumnFormula>
    </tableColumn>
    <tableColumn id="16" xr3:uid="{638E06EB-0127-4EE1-A9B9-F4088128652E}" name="Range"/>
    <tableColumn id="17" xr3:uid="{DCBF62E3-C687-4F93-90A9-3136B1B9AE10}" name="Conditions"/>
  </tableColumns>
  <tableStyleInfo name="TableStyleMedium2"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740E4799-53E2-4197-9CDE-9DF2596B5920}" name="Table55868789909194" displayName="Table55868789909194" ref="H36:K43" totalsRowShown="0" headerRowDxfId="78">
  <autoFilter ref="H36:K43" xr:uid="{740E4799-53E2-4197-9CDE-9DF2596B5920}"/>
  <tableColumns count="4">
    <tableColumn id="1" xr3:uid="{85B046F1-7D4A-4F0E-B5B0-96B09FFA7E52}" name="Active" dataCellStyle="Input"/>
    <tableColumn id="2" xr3:uid="{8AA45679-002C-4412-816A-24E18E180930}" name="Spell"/>
    <tableColumn id="3" xr3:uid="{B188E778-6D4F-40B6-8C42-6DCCDBB33D91}" name="AC Bonus"/>
    <tableColumn id="4" xr3:uid="{948DBA63-20E9-4C6F-A2B3-55A8ADC64852}" name="Applied AC Bonus" dataDxfId="77">
      <calculatedColumnFormula>IF(Table55868789909194[[#This Row],[Active]]="Yes",Table55868789909194[[#This Row],[AC Bonus]],"")</calculatedColumnFormula>
    </tableColumn>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9ADB39D-C60C-4166-ACBD-BC63997F3564}" name="Table5152427303336" displayName="Table5152427303336" ref="A1:E7" totalsRowShown="0">
  <autoFilter ref="A1:E7" xr:uid="{DFA6F7D6-D0FA-41D5-8637-4546B444DF33}"/>
  <tableColumns count="5">
    <tableColumn id="1" xr3:uid="{E37E6802-F699-4B3F-B927-EEE93234D9A3}" name="Ability"/>
    <tableColumn id="2" xr3:uid="{B4C4AA9A-F517-4CD5-AC9B-D5FFA0E1756D}" name="Score"/>
    <tableColumn id="3" xr3:uid="{ACF227AF-753E-4BE9-BDE6-750C8C773495}" name="Modifiers" dataDxfId="76">
      <calculatedColumnFormula>VLOOKUP(Table5152427303336[[#This Row],[Score]],Modifier[],2,FALSE)</calculatedColumnFormula>
    </tableColumn>
    <tableColumn id="4" xr3:uid="{16370505-BAD0-4BE3-AADC-A8BBB347BB72}" name="Proficiency?"/>
    <tableColumn id="5" xr3:uid="{E0F86F73-0129-47AF-B4A1-E76D140127AC}" name="Saving Throw" dataDxfId="75">
      <calculatedColumnFormula>IF(Table5152427303336[[#This Row],[Proficiency?]]="No",Table5152427303336[[#This Row],[Modifiers]],VLOOKUP($F$16,Proficiency[],2,FALSE)+Table5152427303336[[#This Row],[Modifiers]])</calculatedColumnFormula>
    </tableColumn>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65ABDE99-20F8-4BA3-AE81-2E4AFFA1DA9D}" name="Table9162528313437" displayName="Table9162528313437" ref="A10:C28" totalsRowShown="0">
  <autoFilter ref="A10:C28" xr:uid="{2DBB9D55-EF1F-4093-B5D6-DE81E115B39E}"/>
  <tableColumns count="3">
    <tableColumn id="1" xr3:uid="{C6BD3CF9-8673-460C-9096-0BF8A544A340}" name="Skills"/>
    <tableColumn id="2" xr3:uid="{ED901642-EF6D-4601-9343-1B1DE427EF15}" name="Proficiency Level"/>
    <tableColumn id="3" xr3:uid="{749237DD-76AD-4D2C-941D-DFE4D6FD51AC}" name="Bonus" dataDxfId="74">
      <calculatedColumnFormula>VLOOKUP(VLOOKUP(Table9162528313437[[#This Row],[Skills]],Table10[],2,FALSE),Table5[[Ability]:[Modifiers]],3,FALSE)+VLOOKUP(Table9162528313437[[#This Row],[Proficiency Level]],Table11[],3,FALSE)</calculatedColumnFormula>
    </tableColumn>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1133681-8E46-4723-9803-A1F0C68CED4F}" name="Table13172629323538" displayName="Table13172629323538" ref="A31:D37" totalsRowShown="0">
  <autoFilter ref="A31:D37" xr:uid="{909F95C3-35FC-4E69-B822-D6A8D2A32F99}"/>
  <tableColumns count="4">
    <tableColumn id="1" xr3:uid="{15D1AFAA-D532-47FE-BF66-10A5A30A0E88}" name="Class"/>
    <tableColumn id="2" xr3:uid="{72067EFA-B772-41E9-BEB1-B98FB0D29279}" name="Hit Dice"/>
    <tableColumn id="3" xr3:uid="{ADC312FE-77DC-48AC-840C-052746980500}" name="Levels"/>
    <tableColumn id="4" xr3:uid="{F0EF77F1-12E3-4436-9104-F296B14514CA}" name="Average " dataDxfId="73">
      <calculatedColumnFormula>(((Table13172629323538[[#This Row],[Hit Dice]]/2)+0.5)+VLOOKUP("Constitution",Table5152427303336[[Ability]:[Modifiers]],3,FALSE))*Table13172629323538[[#This Row],[Levels]]</calculatedColumnFormula>
    </tableColumn>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D11F41B2-F8F8-449C-9A4D-E4258B3CE475}" name="Table80" displayName="Table80" ref="H31:X34" totalsRowShown="0" headerRowDxfId="72" headerRowBorderDxfId="71" tableBorderDxfId="70">
  <autoFilter ref="H31:X34" xr:uid="{D11F41B2-F8F8-449C-9A4D-E4258B3CE475}"/>
  <tableColumns count="17">
    <tableColumn id="1" xr3:uid="{B5929A72-674E-41D1-ABD3-36D850584892}" name="Creature"/>
    <tableColumn id="2" xr3:uid="{82EF0E4F-9549-46BE-9D5F-F1676DFD8D65}" name="Move Name"/>
    <tableColumn id="3" xr3:uid="{D356EB7E-2D02-49DB-9C45-39B62A0B573B}" name="Attack Roll or Save"/>
    <tableColumn id="4" xr3:uid="{4C85BEF2-B226-49BB-8F7E-3D2AEEDB3027}" name="Ability Score"/>
    <tableColumn id="5" xr3:uid="{A2C5DB32-6743-4D65-B314-8864704A876C}" name="Bonus to Hit"/>
    <tableColumn id="6" xr3:uid="{46E1FF6F-3F1B-43EA-B94D-BE1E12CC52BF}" name="Save Type"/>
    <tableColumn id="7" xr3:uid="{F8E578E9-B8A8-4DCB-B7B4-C41CA4AD09AB}" name="Save DC"/>
    <tableColumn id="8" xr3:uid="{55C34E67-E6EB-4DAE-84D0-EC9DE15BC342}" name="# Dice"/>
    <tableColumn id="9" xr3:uid="{38DB31AF-26BA-4A95-979D-2C7D1ACCD373}" name="Damage Dice"/>
    <tableColumn id="10" xr3:uid="{A49A4D1F-731E-4BA6-981C-32999D60A7B1}" name="Bonus Damage"/>
    <tableColumn id="11" xr3:uid="{1C147A3E-A5E0-41C8-A6D0-BEABAFCAE43B}" name="Bonus # Dice"/>
    <tableColumn id="12" xr3:uid="{E7FFF7B6-9A85-4F5B-815A-56CF156A488F}" name="Bonus Damage Dice"/>
    <tableColumn id="13" xr3:uid="{150F880E-A7D5-4819-9CA8-A4058C8846F7}" name="Secondary Save Type"/>
    <tableColumn id="14" xr3:uid="{D5D9618E-C5D8-4DFB-9550-0A4D9682096D}" name="Secondary Save DC"/>
    <tableColumn id="15" xr3:uid="{5815EE96-A23D-4F58-9B70-0A493BEB42DB}" name="Average Damage" dataDxfId="69">
      <calculatedColumnFormula>((Table80[[#This Row],[Damage Dice]]/2)*Table80[[#This Row],['# Dice]])+(Table80[[#This Row],[Bonus Damage Dice]]/2)*Table80[[#This Row],[Bonus '# Dice]]+Table80[[#This Row],[Bonus Damage]]</calculatedColumnFormula>
    </tableColumn>
    <tableColumn id="16" xr3:uid="{C45F685C-CFDD-454D-991C-E2E4DEA308C1}" name="Range"/>
    <tableColumn id="17" xr3:uid="{11B29C61-3425-427B-852B-9E6D32BA8228}" name="Conditions"/>
  </tableColumns>
  <tableStyleInfo name="TableStyleMedium2"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26213C2-D774-48C4-A019-82FAD27320A9}" name="Table5586878990919495" displayName="Table5586878990919495" ref="H38:K45" totalsRowShown="0" headerRowDxfId="68">
  <autoFilter ref="H38:K45" xr:uid="{E26213C2-D774-48C4-A019-82FAD27320A9}"/>
  <tableColumns count="4">
    <tableColumn id="1" xr3:uid="{D3F3EF41-3132-4323-AC41-8E40F338815B}" name="Active" dataCellStyle="Input"/>
    <tableColumn id="2" xr3:uid="{B51A5FD6-7EF8-4167-8AC3-FE95595E584D}" name="Spell"/>
    <tableColumn id="3" xr3:uid="{2169843A-9222-4454-BDD7-B763B6806874}" name="AC Bonus"/>
    <tableColumn id="4" xr3:uid="{D01F80AD-1EBA-4579-9C61-33B88D5084F3}" name="Applied AC Bonus" dataDxfId="67">
      <calculatedColumnFormula>IF(Table5586878990919495[[#This Row],[Active]]="Yes",Table5586878990919495[[#This Row],[AC Bonus]],"")</calculatedColumnFormula>
    </tableColumn>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7928200-F566-4E0A-9EB3-2EF97F304A41}" name="Table515242730333639" displayName="Table515242730333639" ref="A1:E7" totalsRowShown="0">
  <autoFilter ref="A1:E7" xr:uid="{DFA6F7D6-D0FA-41D5-8637-4546B444DF33}"/>
  <tableColumns count="5">
    <tableColumn id="1" xr3:uid="{D45CEAD8-0C71-4579-B0D2-E8CDDE4D0A5A}" name="Ability"/>
    <tableColumn id="2" xr3:uid="{B8056AE0-1D2A-49E4-B02F-78B6E1285DB2}" name="Score"/>
    <tableColumn id="3" xr3:uid="{F86155BA-DCC0-4F4E-BC73-B9BFF2337EF7}" name="Modifiers" dataDxfId="66">
      <calculatedColumnFormula>VLOOKUP(Table515242730333639[[#This Row],[Score]],Modifier[],2,FALSE)</calculatedColumnFormula>
    </tableColumn>
    <tableColumn id="4" xr3:uid="{C0591068-365F-42C3-80E4-926A4B5CBD33}" name="Proficiency?"/>
    <tableColumn id="5" xr3:uid="{00FDF438-9545-4180-955C-F19F7AEBA27C}" name="Saving Throw" dataDxfId="65">
      <calculatedColumnFormula>IF(Table515242730333639[[#This Row],[Proficiency?]]="No",Table515242730333639[[#This Row],[Modifiers]],VLOOKUP($F$16,Proficiency[],2,FALSE)+Table515242730333639[[#This Row],[Modifiers]])</calculatedColumnFormula>
    </tableColumn>
  </tableColumns>
  <tableStyleInfo name="TableStyleMedium2"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BA1E572-B5ED-4943-A2E8-96101688DA71}" name="Table916252831343740" displayName="Table916252831343740" ref="A10:C28" totalsRowShown="0">
  <autoFilter ref="A10:C28" xr:uid="{2DBB9D55-EF1F-4093-B5D6-DE81E115B39E}"/>
  <tableColumns count="3">
    <tableColumn id="1" xr3:uid="{FE3B2216-FC68-479A-B573-4B88FFF4F386}" name="Skills"/>
    <tableColumn id="2" xr3:uid="{FD243279-E0ED-43E3-8D28-445EFB9005EE}" name="Proficiency Level"/>
    <tableColumn id="3" xr3:uid="{D681870B-35C7-4757-8DA1-D5A1C471EAFF}" name="Bonus" dataDxfId="64">
      <calculatedColumnFormula>VLOOKUP(VLOOKUP(Table916252831343740[[#This Row],[Skills]],Table10[],2,FALSE),Table5[[Ability]:[Modifiers]],3,FALSE)+VLOOKUP(Table916252831343740[[#This Row],[Proficiency Level]],Table11[],3,FALSE)</calculatedColumnFormula>
    </tableColumn>
  </tableColumns>
  <tableStyleInfo name="TableStyleMedium2"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48A15D6E-F939-4EDF-BABA-9C43975CDAC0}" name="Table1317262932353841" displayName="Table1317262932353841" ref="A31:D36" totalsRowShown="0">
  <autoFilter ref="A31:D36" xr:uid="{909F95C3-35FC-4E69-B822-D6A8D2A32F99}"/>
  <tableColumns count="4">
    <tableColumn id="1" xr3:uid="{0DCFDCDC-D2CB-4F2C-BCA3-570E8389C1B5}" name="Class"/>
    <tableColumn id="2" xr3:uid="{6EFEAE3E-4F83-4F00-8AC9-F09BF3F920B8}" name="Hit Dice"/>
    <tableColumn id="3" xr3:uid="{F2E8A874-C685-4B42-9FA4-C75D527235BA}" name="Levels"/>
    <tableColumn id="4" xr3:uid="{1EBBFACA-26CE-469A-AB72-8D3A5C2FDC3C}" name="Average " dataDxfId="63">
      <calculatedColumnFormula>(((Table1317262932353841[[#This Row],[Hit Dice]]/2)+0.5)+VLOOKUP("Constitution",Table515242730333639[[Ability]:[Modifiers]],3,FALSE))*Table1317262932353841[[#This Row],[Levels]]</calculatedColumnFormula>
    </tableColumn>
  </tableColumns>
  <tableStyleInfo name="TableStyleMedium2"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A87F6273-A182-425D-B8D4-E4C288726E05}" name="Table77" displayName="Table77" ref="F34:V37" totalsRowShown="0" headerRowDxfId="62" headerRowBorderDxfId="61" tableBorderDxfId="60">
  <autoFilter ref="F34:V37" xr:uid="{A87F6273-A182-425D-B8D4-E4C288726E05}"/>
  <tableColumns count="17">
    <tableColumn id="1" xr3:uid="{A6AB81A4-240B-4462-B93D-250DEE1E26F4}" name="Creature"/>
    <tableColumn id="2" xr3:uid="{DA6F78A1-60A7-428C-B469-ACB15F6DC47D}" name="Move Name"/>
    <tableColumn id="3" xr3:uid="{1F2D874F-8955-4244-98D5-9365682EDFEA}" name="Attack Roll or Save"/>
    <tableColumn id="4" xr3:uid="{81133970-73D3-4AC9-BBB2-2A9469C84C83}" name="Ability Score"/>
    <tableColumn id="5" xr3:uid="{2161BBFD-D6A2-4590-AA0B-EC61FCFE3D04}" name="Bonus to Hit" dataDxfId="59">
      <calculatedColumnFormula>2+8</calculatedColumnFormula>
    </tableColumn>
    <tableColumn id="6" xr3:uid="{BAECDCEE-D504-455D-BD37-42DEDC756BEC}" name="Save Type"/>
    <tableColumn id="7" xr3:uid="{C3F61F00-E3E9-4B9A-AB14-325FF0E2DB99}" name="Save DC"/>
    <tableColumn id="8" xr3:uid="{1B808D88-EF9A-4B2D-90C2-F7655BC0EB57}" name="# Dice"/>
    <tableColumn id="9" xr3:uid="{439944C7-659F-4250-A01D-87186F61E7F1}" name="Damage Dice"/>
    <tableColumn id="10" xr3:uid="{A2A119E3-0F2F-4667-AF6C-599B2EA4A523}" name="Bonus Damage"/>
    <tableColumn id="11" xr3:uid="{9A252CD3-1489-409B-8C22-CCA5632A910F}" name="Bonus # Dice"/>
    <tableColumn id="12" xr3:uid="{9638AEFB-F615-425A-AC52-9116406B01D6}" name="Bonus Damage Dice"/>
    <tableColumn id="13" xr3:uid="{17949799-BDFC-40D5-A4F6-2FDDBE3803B9}" name="Secondary Save Type"/>
    <tableColumn id="14" xr3:uid="{58296514-0266-4372-9675-70B96C4D0035}" name="Secondary Save DC"/>
    <tableColumn id="15" xr3:uid="{042DD2C7-1FD4-442A-9AB9-B58D33009FF6}" name="Average Damage" dataDxfId="58">
      <calculatedColumnFormula>((Table77[[#This Row],[Damage Dice]]/2)*Table77[[#This Row],['# Dice]])+Table77[[#This Row],[Bonus Damage]]</calculatedColumnFormula>
    </tableColumn>
    <tableColumn id="16" xr3:uid="{63F31719-4D16-4D0F-856D-D7404F146AF9}" name="Range"/>
    <tableColumn id="17" xr3:uid="{BA5B178F-EC2A-434F-BBC0-341B0EF9A144}" name="Conditions"/>
  </tableColumns>
  <tableStyleInfo name="TableStyleMedium2"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B2E1F69E-2255-4162-9B10-07689D636811}" name="Table558687899091949597" displayName="Table558687899091949597" ref="F41:I48" totalsRowShown="0" headerRowDxfId="57">
  <autoFilter ref="F41:I48" xr:uid="{B2E1F69E-2255-4162-9B10-07689D636811}"/>
  <tableColumns count="4">
    <tableColumn id="1" xr3:uid="{D1C98C56-19B0-4D45-98E2-BAC885E8FECF}" name="Active" dataCellStyle="Input"/>
    <tableColumn id="2" xr3:uid="{2336B949-AF98-4FCD-BA29-43C27271A1E8}" name="Spell"/>
    <tableColumn id="3" xr3:uid="{5CA43C8C-A0CE-4549-9CDB-FCAAD719E620}" name="AC Bonus"/>
    <tableColumn id="4" xr3:uid="{03B3326E-6339-4EE4-9CD5-B8B46A13AA50}" name="Applied AC Bonus" dataDxfId="56">
      <calculatedColumnFormula>IF(Table558687899091949597[[#This Row],[Active]]="Yes",Table558687899091949597[[#This Row],[AC Bonus]],"")</calculatedColumnFormula>
    </tableColumn>
  </tableColumns>
  <tableStyleInfo name="TableStyleMedium2"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4ADF99C-B78B-4909-970D-DC03152F2FB3}" name="Table51524273033363942" displayName="Table51524273033363942" ref="A1:E7" totalsRowShown="0">
  <autoFilter ref="A1:E7" xr:uid="{DFA6F7D6-D0FA-41D5-8637-4546B444DF33}"/>
  <tableColumns count="5">
    <tableColumn id="1" xr3:uid="{99E85B05-F039-419C-A74C-DB0AFA3A82DB}" name="Ability"/>
    <tableColumn id="2" xr3:uid="{84542737-5DA0-45F9-9B92-E08229D23A64}" name="Score"/>
    <tableColumn id="3" xr3:uid="{B37499B1-CAF5-4051-BBA1-836723B30073}" name="Modifiers" dataDxfId="55">
      <calculatedColumnFormula>VLOOKUP(Table51524273033363942[[#This Row],[Score]],Modifier[],2,FALSE)</calculatedColumnFormula>
    </tableColumn>
    <tableColumn id="4" xr3:uid="{B41BBCBB-D772-4C7B-93E7-D71E48C89EF2}" name="Proficiency?"/>
    <tableColumn id="5" xr3:uid="{E497642F-280A-42C4-9B73-7F2FE951890C}" name="Saving Throw" dataDxfId="54">
      <calculatedColumnFormula>IF(Table51524273033363942[[#This Row],[Proficiency?]]="No",Table51524273033363942[[#This Row],[Modifiers]],VLOOKUP($F$16,Proficiency[],2,FALSE)+Table51524273033363942[[#This Row],[Modifiers]])</calculatedColumnFormula>
    </tableColumn>
  </tableColumns>
  <tableStyleInfo name="TableStyleMedium2"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8822246-73D1-40C9-9E44-209EB352B256}" name="Table91625283134374043" displayName="Table91625283134374043" ref="A10:C28" totalsRowShown="0">
  <autoFilter ref="A10:C28" xr:uid="{2DBB9D55-EF1F-4093-B5D6-DE81E115B39E}"/>
  <tableColumns count="3">
    <tableColumn id="1" xr3:uid="{461DD9F6-38CB-445E-B4E2-DCE741DEBE0A}" name="Skills"/>
    <tableColumn id="2" xr3:uid="{06D900F7-4F7D-40B7-87BF-1A88493BC3A6}" name="Proficiency Level"/>
    <tableColumn id="3" xr3:uid="{6EB9F9BB-2815-40BD-9E8B-1A7DF22F8B9B}" name="Bonus" dataDxfId="53">
      <calculatedColumnFormula>VLOOKUP(VLOOKUP(Table91625283134374043[[#This Row],[Skills]],Table10[],2,FALSE),Table5[[Ability]:[Modifiers]],3,FALSE)+VLOOKUP(Table91625283134374043[[#This Row],[Proficiency Level]],Table11[],3,FALSE)</calculatedColumnFormula>
    </tableColumn>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9AF5CE56-7377-45FE-B194-D145D76A0BDF}" name="Table131726293235384144" displayName="Table131726293235384144" ref="A31:D36" totalsRowShown="0">
  <autoFilter ref="A31:D36" xr:uid="{909F95C3-35FC-4E69-B822-D6A8D2A32F99}"/>
  <tableColumns count="4">
    <tableColumn id="1" xr3:uid="{4E17D331-D769-434A-A9AD-EB3E6612F785}" name="Class"/>
    <tableColumn id="2" xr3:uid="{4C64A022-EB95-4F76-AE38-8DBDA2A5B7A9}" name="Hit Dice"/>
    <tableColumn id="3" xr3:uid="{06355C75-CEC2-46E1-BA64-7434D7CB792B}" name="Levels"/>
    <tableColumn id="4" xr3:uid="{E3820C04-779F-49B9-9A8F-870CEF47169C}" name="Average " dataDxfId="52">
      <calculatedColumnFormula>(((Table131726293235384144[[#This Row],[Hit Dice]]/2)+0.5)+VLOOKUP("Constitution",Table51524273033363942[[Ability]:[Modifiers]],3,FALSE))*Table131726293235384144[[#This Row],[Levels]]</calculatedColumnFormula>
    </tableColumn>
  </tableColumns>
  <tableStyleInfo name="TableStyleMedium2"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E30A42E-FD03-4368-BC1D-637841191098}" name="Table76" displayName="Table76" ref="F35:V38" totalsRowShown="0" headerRowDxfId="51" headerRowBorderDxfId="50" tableBorderDxfId="49">
  <autoFilter ref="F35:V38" xr:uid="{0E30A42E-FD03-4368-BC1D-637841191098}"/>
  <tableColumns count="17">
    <tableColumn id="1" xr3:uid="{89288A17-2B9A-4586-86D2-0388AECA675D}" name="Creature"/>
    <tableColumn id="2" xr3:uid="{6F1541EC-612E-47FE-829D-433E65EA0CC2}" name="Move Name"/>
    <tableColumn id="3" xr3:uid="{B36AB860-122F-4678-B9DF-F4285A3C6666}" name="Attack Roll or Save"/>
    <tableColumn id="4" xr3:uid="{C4073A4F-C1FC-48BA-A95D-8D910AD942CC}" name="Ability Score"/>
    <tableColumn id="5" xr3:uid="{F50F69A0-8442-4953-8607-EF391B9CD7EF}" name="Bonus to Hit"/>
    <tableColumn id="6" xr3:uid="{D95A9457-1785-4011-AB17-64DA83F58442}" name="Save Type"/>
    <tableColumn id="7" xr3:uid="{BE237A57-77C9-4FA3-86E7-60A909E289D7}" name="Save DC"/>
    <tableColumn id="8" xr3:uid="{3B344A55-22A8-4571-B87D-1049D1406900}" name="# Dice"/>
    <tableColumn id="9" xr3:uid="{AE3AD74E-A883-43DB-996F-3B15BFA712A8}" name="Damage Dice"/>
    <tableColumn id="10" xr3:uid="{13639D1B-E012-49FC-A6C2-18E02EC724F5}" name="Bonus Damage"/>
    <tableColumn id="11" xr3:uid="{931FF2AB-455B-4476-81A6-CC99AB80F345}" name="Bonus # Dice"/>
    <tableColumn id="12" xr3:uid="{DC801102-15C7-49DF-A6B9-883F7B22C5E9}" name="Bonus Damage Dice"/>
    <tableColumn id="13" xr3:uid="{960750BF-1AF2-4135-BA01-F3B7867FDA0E}" name="Secondary Save Type"/>
    <tableColumn id="14" xr3:uid="{0B721D24-D13D-4266-8538-9E819788E49E}" name="Secondary Save DC"/>
    <tableColumn id="15" xr3:uid="{D91E2246-0D35-4DD3-993E-10B5F9F3FA30}" name="Average Damage"/>
    <tableColumn id="16" xr3:uid="{1A39C9A6-1FDD-41B6-BD9D-9EE32FD968BC}" name="Range"/>
    <tableColumn id="17" xr3:uid="{799469AE-9151-4F7C-822F-4F1D50C0B009}" name="Conditions"/>
  </tableColumns>
  <tableStyleInfo name="TableStyleMedium2"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030C2680-158A-4616-9621-1F8AB3C8B1B9}" name="Table55868789909194959798" displayName="Table55868789909194959798" ref="F42:I49" totalsRowShown="0" headerRowDxfId="48">
  <autoFilter ref="F42:I49" xr:uid="{030C2680-158A-4616-9621-1F8AB3C8B1B9}"/>
  <tableColumns count="4">
    <tableColumn id="1" xr3:uid="{1638A950-66C7-4C27-96B7-8F680E7CF042}" name="Active" dataCellStyle="Input"/>
    <tableColumn id="2" xr3:uid="{8EC480CD-3EAA-4BA8-BF76-CFD0DBFB3D13}" name="Spell"/>
    <tableColumn id="3" xr3:uid="{2DE60D9A-09B5-434D-AF6F-C63FC1A1A4B6}" name="AC Bonus"/>
    <tableColumn id="4" xr3:uid="{C3FD610A-FD3B-4428-9676-CE45174A1E6E}" name="Applied AC Bonus" dataDxfId="47">
      <calculatedColumnFormula>IF(Table55868789909194959798[[#This Row],[Active]]="Yes",Table55868789909194959798[[#This Row],[AC Bonus]],"")</calculatedColumnFormula>
    </tableColumn>
  </tableColumns>
  <tableStyleInfo name="TableStyleMedium2"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70CC0086-BC95-4A6B-89B9-2DD1BE331734}" name="Table5152427303336394247" displayName="Table5152427303336394247" ref="A1:E7" totalsRowShown="0">
  <autoFilter ref="A1:E7" xr:uid="{DFA6F7D6-D0FA-41D5-8637-4546B444DF33}"/>
  <tableColumns count="5">
    <tableColumn id="1" xr3:uid="{ABBDB04B-6C02-4F5C-AD0A-ACD625B8DD75}" name="Ability"/>
    <tableColumn id="2" xr3:uid="{D610C72C-3269-4D4E-B87E-AED44FAB4E39}" name="Score"/>
    <tableColumn id="3" xr3:uid="{DEE4B3F3-D195-48B4-AE9E-21B155BCDAEA}" name="Modifiers" dataDxfId="46">
      <calculatedColumnFormula>VLOOKUP(Table5152427303336394247[[#This Row],[Score]],Modifier[],2,FALSE)</calculatedColumnFormula>
    </tableColumn>
    <tableColumn id="4" xr3:uid="{2E4826AF-5504-4860-B5C6-93EC1368E01A}" name="Proficiency?"/>
    <tableColumn id="5" xr3:uid="{4C97AD27-147F-4B57-9984-7B62E4F66CB1}" name="Saving Throw" dataDxfId="45">
      <calculatedColumnFormula>IF(Table5152427303336394247[[#This Row],[Proficiency?]]="No",Table5152427303336394247[[#This Row],[Modifiers]],VLOOKUP($F$16,Proficiency[],2,FALSE)+Table5152427303336394247[[#This Row],[Modifiers]])</calculatedColumnFormula>
    </tableColumn>
  </tableColumns>
  <tableStyleInfo name="TableStyleMedium2"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413B87A-D9B5-42C3-9D13-FC41D70B34B5}" name="Table9162528313437404348" displayName="Table9162528313437404348" ref="A10:C28" totalsRowShown="0">
  <autoFilter ref="A10:C28" xr:uid="{2DBB9D55-EF1F-4093-B5D6-DE81E115B39E}"/>
  <tableColumns count="3">
    <tableColumn id="1" xr3:uid="{B98D4F6D-6865-48D4-9E35-E555E35F8B21}" name="Skills"/>
    <tableColumn id="2" xr3:uid="{7D09BD62-484B-487E-9177-148EE8675EFA}" name="Proficiency Level"/>
    <tableColumn id="3" xr3:uid="{8C874C61-A782-43E9-90CA-D90E93D4135B}" name="Bonus" dataDxfId="44">
      <calculatedColumnFormula>VLOOKUP(VLOOKUP(Table9162528313437404348[[#This Row],[Skills]],Table10[],2,FALSE),Table5[[Ability]:[Modifiers]],3,FALSE)+VLOOKUP(Table9162528313437404348[[#This Row],[Proficiency Level]],Table11[],3,FALSE)</calculatedColumnFormula>
    </tableColumn>
  </tableColumns>
  <tableStyleInfo name="TableStyleMedium2"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4645D04D-3F05-4B53-973A-645F2F62A4E7}" name="Table13172629323538414449" displayName="Table13172629323538414449" ref="A31:D36" totalsRowShown="0">
  <autoFilter ref="A31:D36" xr:uid="{909F95C3-35FC-4E69-B822-D6A8D2A32F99}"/>
  <tableColumns count="4">
    <tableColumn id="1" xr3:uid="{FD3FDCAE-410B-4E2A-8F3D-7BA4824C642C}" name="Class"/>
    <tableColumn id="2" xr3:uid="{2CEEF3CD-6EFC-459A-9B36-DF93D43E3F00}" name="Hit Dice"/>
    <tableColumn id="3" xr3:uid="{C2B0A49E-45CF-420E-8C71-9A206A624E77}" name="Levels"/>
    <tableColumn id="4" xr3:uid="{A24C2735-C810-4585-AFBF-FC760498638D}" name="Average " dataDxfId="43">
      <calculatedColumnFormula>(((Table13172629323538414449[[#This Row],[Hit Dice]]/2)+0.5)+VLOOKUP("Constitution",Table5152427303336394247[[Ability]:[Modifiers]],3,FALSE))*Table13172629323538414449[[#This Row],[Levels]]</calculatedColumnFormula>
    </tableColumn>
  </tableColumns>
  <tableStyleInfo name="TableStyleMedium2"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99567922-AECD-40CB-9747-3C1A6545A92E}" name="Table5586878990919495979899" displayName="Table5586878990919495979899" ref="H30:K37" totalsRowShown="0" headerRowDxfId="42">
  <autoFilter ref="H30:K37" xr:uid="{99567922-AECD-40CB-9747-3C1A6545A92E}"/>
  <tableColumns count="4">
    <tableColumn id="1" xr3:uid="{6547B21D-C93D-4094-A923-C6F35FD17CB3}" name="Active" dataCellStyle="Input"/>
    <tableColumn id="2" xr3:uid="{5A8155EF-2953-41EE-9A34-AD68DC2A8FDE}" name="Spell"/>
    <tableColumn id="3" xr3:uid="{C10C49A6-6F2A-49D1-B915-D605B0610C0B}" name="AC Bonus"/>
    <tableColumn id="4" xr3:uid="{CE9084BB-83D7-4604-9B41-EF3049EFAEDC}" name="Applied AC Bonus" dataDxfId="41">
      <calculatedColumnFormula>IF(Table5586878990919495979899[[#This Row],[Active]]="Yes",Table5586878990919495979899[[#This Row],[AC Bonus]],"")</calculatedColumnFormula>
    </tableColumn>
  </tableColumns>
  <tableStyleInfo name="TableStyleMedium2"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E9473A-BCCC-4ADC-A4B0-D8C1046A8CA1}" name="Table1_2" displayName="Table1_2" ref="A1:E34" tableType="queryTable" totalsRowShown="0">
  <autoFilter ref="A1:E34" xr:uid="{DEE9473A-BCCC-4ADC-A4B0-D8C1046A8CA1}"/>
  <sortState xmlns:xlrd2="http://schemas.microsoft.com/office/spreadsheetml/2017/richdata2" ref="A2:E34">
    <sortCondition descending="1" ref="C1:C34"/>
  </sortState>
  <tableColumns count="5">
    <tableColumn id="1" xr3:uid="{B7E6CCC1-0D99-4CBC-921B-0F66BED34A52}" uniqueName="1" name="Spell Name" queryTableFieldId="1" dataDxfId="40"/>
    <tableColumn id="4" xr3:uid="{92997E8E-0098-4363-9624-FB057DC15A21}" uniqueName="4" name="Spell Level" queryTableFieldId="4" dataDxfId="39"/>
    <tableColumn id="2" xr3:uid="{05A81AEE-F95D-498A-AAF2-2C3EFA16AD13}" uniqueName="2" name="Upcast Desired" queryTableFieldId="2" dataDxfId="38"/>
    <tableColumn id="3" xr3:uid="{A1DDCBBF-4E99-4663-85BE-A1CF6B5AE776}" uniqueName="3" name="Number of Glyphs" queryTableFieldId="3"/>
    <tableColumn id="5" xr3:uid="{DE3769FE-A1A7-4689-B835-4508EB86332D}" uniqueName="5" name="Glyphs Left" queryTableFieldId="5">
      <calculatedColumnFormula>Table1_2[[#This Row],[Number of Glyphs]]-1</calculatedColumnFormula>
    </tableColumn>
  </tableColumns>
  <tableStyleInfo name="TableStyleMedium7"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4B1CB1A-C576-4D0D-89AC-7FE133F80A6E}" name="Table3" displayName="Table3" ref="A36:J49" totalsRowShown="0">
  <autoFilter ref="A36:J49" xr:uid="{44B1CB1A-C576-4D0D-89AC-7FE133F80A6E}"/>
  <sortState xmlns:xlrd2="http://schemas.microsoft.com/office/spreadsheetml/2017/richdata2" ref="A37:J49">
    <sortCondition descending="1" ref="C36:C49"/>
  </sortState>
  <tableColumns count="10">
    <tableColumn id="1" xr3:uid="{8BD3F27A-0089-41A3-BA17-4A838498E30A}" name="Creatures"/>
    <tableColumn id="2" xr3:uid="{673A1864-718B-4C84-8960-635B3896D69B}" name="1st"/>
    <tableColumn id="3" xr3:uid="{0EA7CFB0-4F86-48F9-A9DF-714820C2ACA1}" name="2nd "/>
    <tableColumn id="4" xr3:uid="{5406D41A-4AB5-41D5-AF51-09B5AF31BD92}" name="3rd"/>
    <tableColumn id="5" xr3:uid="{9D0EBE5A-0704-4DDE-9EA5-879AB044AE87}" name="4th"/>
    <tableColumn id="6" xr3:uid="{49435C0C-6DB7-448C-8707-417526BE8FCE}" name="5th"/>
    <tableColumn id="7" xr3:uid="{B2F6669E-2552-4E19-9BC0-834B86E977ED}" name="6th"/>
    <tableColumn id="8" xr3:uid="{FFC63383-E6CE-4BD3-BB54-3D82DA348927}" name="7th"/>
    <tableColumn id="9" xr3:uid="{2660731D-5EA1-46B9-94E9-F66F7F163E52}" name="8th"/>
    <tableColumn id="10" xr3:uid="{78C3E8B0-DFA8-4473-97E1-8FB252688BA0}" name="9th"/>
  </tableColumns>
  <tableStyleInfo name="TableStyleMedium2"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9F8E8F-E0A7-4E00-96D8-6DD6216252C3}" name="Table4" displayName="Table4" ref="A51:D75" totalsRowShown="0">
  <autoFilter ref="A51:D75" xr:uid="{4B9F8E8F-E0A7-4E00-96D8-6DD6216252C3}"/>
  <tableColumns count="4">
    <tableColumn id="1" xr3:uid="{24511E7D-CC18-467B-925A-E6DD378F8C7B}" name="Hour #"/>
    <tableColumn id="2" xr3:uid="{D272AFB7-B1D7-4C1A-A717-5939E412C519}" name="Spells Done"/>
    <tableColumn id="3" xr3:uid="{2C37DBE7-813A-4419-9E4B-4AD9B27BFA6D}" name="Cost"/>
    <tableColumn id="4" xr3:uid="{261F1A1B-2A42-4984-9915-045851E21F81}" name="Total Cards Ma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4.xml"/><Relationship Id="rId13" Type="http://schemas.openxmlformats.org/officeDocument/2006/relationships/table" Target="../tables/table29.xml"/><Relationship Id="rId3" Type="http://schemas.openxmlformats.org/officeDocument/2006/relationships/table" Target="../tables/table19.xml"/><Relationship Id="rId7" Type="http://schemas.openxmlformats.org/officeDocument/2006/relationships/table" Target="../tables/table23.xml"/><Relationship Id="rId12" Type="http://schemas.openxmlformats.org/officeDocument/2006/relationships/table" Target="../tables/table28.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22.xml"/><Relationship Id="rId11" Type="http://schemas.openxmlformats.org/officeDocument/2006/relationships/table" Target="../tables/table27.xml"/><Relationship Id="rId5" Type="http://schemas.openxmlformats.org/officeDocument/2006/relationships/table" Target="../tables/table21.xml"/><Relationship Id="rId10" Type="http://schemas.openxmlformats.org/officeDocument/2006/relationships/table" Target="../tables/table26.xml"/><Relationship Id="rId4" Type="http://schemas.openxmlformats.org/officeDocument/2006/relationships/table" Target="../tables/table20.xml"/><Relationship Id="rId9" Type="http://schemas.openxmlformats.org/officeDocument/2006/relationships/table" Target="../tables/table25.xml"/><Relationship Id="rId14" Type="http://schemas.openxmlformats.org/officeDocument/2006/relationships/table" Target="../tables/table30.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6.xml"/><Relationship Id="rId13" Type="http://schemas.openxmlformats.org/officeDocument/2006/relationships/table" Target="../tables/table41.xml"/><Relationship Id="rId3" Type="http://schemas.openxmlformats.org/officeDocument/2006/relationships/table" Target="../tables/table31.xml"/><Relationship Id="rId7" Type="http://schemas.openxmlformats.org/officeDocument/2006/relationships/table" Target="../tables/table35.xml"/><Relationship Id="rId12" Type="http://schemas.openxmlformats.org/officeDocument/2006/relationships/table" Target="../tables/table4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34.xml"/><Relationship Id="rId11" Type="http://schemas.openxmlformats.org/officeDocument/2006/relationships/table" Target="../tables/table39.xml"/><Relationship Id="rId5" Type="http://schemas.openxmlformats.org/officeDocument/2006/relationships/table" Target="../tables/table33.xml"/><Relationship Id="rId15" Type="http://schemas.openxmlformats.org/officeDocument/2006/relationships/table" Target="../tables/table43.xml"/><Relationship Id="rId10" Type="http://schemas.openxmlformats.org/officeDocument/2006/relationships/table" Target="../tables/table38.xml"/><Relationship Id="rId4" Type="http://schemas.openxmlformats.org/officeDocument/2006/relationships/table" Target="../tables/table32.xml"/><Relationship Id="rId9" Type="http://schemas.openxmlformats.org/officeDocument/2006/relationships/table" Target="../tables/table37.xml"/><Relationship Id="rId14" Type="http://schemas.openxmlformats.org/officeDocument/2006/relationships/table" Target="../tables/table4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50.xml"/><Relationship Id="rId3" Type="http://schemas.openxmlformats.org/officeDocument/2006/relationships/table" Target="../tables/table45.xml"/><Relationship Id="rId7" Type="http://schemas.openxmlformats.org/officeDocument/2006/relationships/table" Target="../tables/table49.xml"/><Relationship Id="rId2" Type="http://schemas.openxmlformats.org/officeDocument/2006/relationships/table" Target="../tables/table44.xml"/><Relationship Id="rId1" Type="http://schemas.openxmlformats.org/officeDocument/2006/relationships/printerSettings" Target="../printerSettings/printerSettings4.bin"/><Relationship Id="rId6" Type="http://schemas.openxmlformats.org/officeDocument/2006/relationships/table" Target="../tables/table48.xml"/><Relationship Id="rId5" Type="http://schemas.openxmlformats.org/officeDocument/2006/relationships/table" Target="../tables/table47.xml"/><Relationship Id="rId4" Type="http://schemas.openxmlformats.org/officeDocument/2006/relationships/table" Target="../tables/table4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57.xml"/><Relationship Id="rId3" Type="http://schemas.openxmlformats.org/officeDocument/2006/relationships/table" Target="../tables/table52.xml"/><Relationship Id="rId7" Type="http://schemas.openxmlformats.org/officeDocument/2006/relationships/table" Target="../tables/table56.xml"/><Relationship Id="rId2" Type="http://schemas.openxmlformats.org/officeDocument/2006/relationships/table" Target="../tables/table51.xml"/><Relationship Id="rId1" Type="http://schemas.openxmlformats.org/officeDocument/2006/relationships/printerSettings" Target="../printerSettings/printerSettings5.bin"/><Relationship Id="rId6" Type="http://schemas.openxmlformats.org/officeDocument/2006/relationships/table" Target="../tables/table55.xml"/><Relationship Id="rId5" Type="http://schemas.openxmlformats.org/officeDocument/2006/relationships/table" Target="../tables/table54.xml"/><Relationship Id="rId4" Type="http://schemas.openxmlformats.org/officeDocument/2006/relationships/table" Target="../tables/table5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0.xml"/><Relationship Id="rId2" Type="http://schemas.openxmlformats.org/officeDocument/2006/relationships/table" Target="../tables/table59.xml"/><Relationship Id="rId1" Type="http://schemas.openxmlformats.org/officeDocument/2006/relationships/table" Target="../tables/table58.xml"/><Relationship Id="rId6" Type="http://schemas.openxmlformats.org/officeDocument/2006/relationships/table" Target="../tables/table63.xml"/><Relationship Id="rId5" Type="http://schemas.openxmlformats.org/officeDocument/2006/relationships/table" Target="../tables/table62.xml"/><Relationship Id="rId4" Type="http://schemas.openxmlformats.org/officeDocument/2006/relationships/table" Target="../tables/table6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65.xml"/><Relationship Id="rId7" Type="http://schemas.openxmlformats.org/officeDocument/2006/relationships/table" Target="../tables/table69.xml"/><Relationship Id="rId2" Type="http://schemas.openxmlformats.org/officeDocument/2006/relationships/table" Target="../tables/table64.xml"/><Relationship Id="rId1" Type="http://schemas.openxmlformats.org/officeDocument/2006/relationships/printerSettings" Target="../printerSettings/printerSettings6.bin"/><Relationship Id="rId6" Type="http://schemas.openxmlformats.org/officeDocument/2006/relationships/table" Target="../tables/table68.xml"/><Relationship Id="rId5" Type="http://schemas.openxmlformats.org/officeDocument/2006/relationships/table" Target="../tables/table67.xml"/><Relationship Id="rId4" Type="http://schemas.openxmlformats.org/officeDocument/2006/relationships/table" Target="../tables/table6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2.xml"/><Relationship Id="rId2" Type="http://schemas.openxmlformats.org/officeDocument/2006/relationships/table" Target="../tables/table71.xml"/><Relationship Id="rId1" Type="http://schemas.openxmlformats.org/officeDocument/2006/relationships/table" Target="../tables/table70.xml"/><Relationship Id="rId5" Type="http://schemas.openxmlformats.org/officeDocument/2006/relationships/table" Target="../tables/table74.xml"/><Relationship Id="rId4" Type="http://schemas.openxmlformats.org/officeDocument/2006/relationships/table" Target="../tables/table7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7.xml"/><Relationship Id="rId2" Type="http://schemas.openxmlformats.org/officeDocument/2006/relationships/table" Target="../tables/table76.xml"/><Relationship Id="rId1" Type="http://schemas.openxmlformats.org/officeDocument/2006/relationships/table" Target="../tables/table75.xml"/><Relationship Id="rId5" Type="http://schemas.openxmlformats.org/officeDocument/2006/relationships/table" Target="../tables/table79.xml"/><Relationship Id="rId4" Type="http://schemas.openxmlformats.org/officeDocument/2006/relationships/table" Target="../tables/table78.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2.xml"/><Relationship Id="rId2" Type="http://schemas.openxmlformats.org/officeDocument/2006/relationships/table" Target="../tables/table81.xml"/><Relationship Id="rId1" Type="http://schemas.openxmlformats.org/officeDocument/2006/relationships/table" Target="../tables/table80.xml"/><Relationship Id="rId5" Type="http://schemas.openxmlformats.org/officeDocument/2006/relationships/table" Target="../tables/table84.xml"/><Relationship Id="rId4" Type="http://schemas.openxmlformats.org/officeDocument/2006/relationships/table" Target="../tables/table8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6.xml"/><Relationship Id="rId2" Type="http://schemas.openxmlformats.org/officeDocument/2006/relationships/table" Target="../tables/table85.xml"/><Relationship Id="rId1" Type="http://schemas.openxmlformats.org/officeDocument/2006/relationships/printerSettings" Target="../printerSettings/printerSettings7.bin"/><Relationship Id="rId6" Type="http://schemas.openxmlformats.org/officeDocument/2006/relationships/table" Target="../tables/table89.xml"/><Relationship Id="rId5" Type="http://schemas.openxmlformats.org/officeDocument/2006/relationships/table" Target="../tables/table88.xml"/><Relationship Id="rId4" Type="http://schemas.openxmlformats.org/officeDocument/2006/relationships/table" Target="../tables/table87.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91.xml"/><Relationship Id="rId2" Type="http://schemas.openxmlformats.org/officeDocument/2006/relationships/table" Target="../tables/table90.xml"/><Relationship Id="rId1" Type="http://schemas.openxmlformats.org/officeDocument/2006/relationships/printerSettings" Target="../printerSettings/printerSettings8.bin"/><Relationship Id="rId6" Type="http://schemas.openxmlformats.org/officeDocument/2006/relationships/table" Target="../tables/table94.xml"/><Relationship Id="rId5" Type="http://schemas.openxmlformats.org/officeDocument/2006/relationships/table" Target="../tables/table93.xml"/><Relationship Id="rId4" Type="http://schemas.openxmlformats.org/officeDocument/2006/relationships/table" Target="../tables/table9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96.xml"/><Relationship Id="rId2" Type="http://schemas.openxmlformats.org/officeDocument/2006/relationships/table" Target="../tables/table95.xml"/><Relationship Id="rId1" Type="http://schemas.openxmlformats.org/officeDocument/2006/relationships/printerSettings" Target="../printerSettings/printerSettings9.bin"/><Relationship Id="rId6" Type="http://schemas.openxmlformats.org/officeDocument/2006/relationships/table" Target="../tables/table99.xml"/><Relationship Id="rId5" Type="http://schemas.openxmlformats.org/officeDocument/2006/relationships/table" Target="../tables/table98.xml"/><Relationship Id="rId4" Type="http://schemas.openxmlformats.org/officeDocument/2006/relationships/table" Target="../tables/table97.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01.xml"/><Relationship Id="rId2" Type="http://schemas.openxmlformats.org/officeDocument/2006/relationships/table" Target="../tables/table100.xml"/><Relationship Id="rId1" Type="http://schemas.openxmlformats.org/officeDocument/2006/relationships/printerSettings" Target="../printerSettings/printerSettings10.bin"/><Relationship Id="rId6" Type="http://schemas.openxmlformats.org/officeDocument/2006/relationships/table" Target="../tables/table104.xml"/><Relationship Id="rId5" Type="http://schemas.openxmlformats.org/officeDocument/2006/relationships/table" Target="../tables/table103.xml"/><Relationship Id="rId4" Type="http://schemas.openxmlformats.org/officeDocument/2006/relationships/table" Target="../tables/table102.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06.xml"/><Relationship Id="rId2" Type="http://schemas.openxmlformats.org/officeDocument/2006/relationships/table" Target="../tables/table105.xml"/><Relationship Id="rId1" Type="http://schemas.openxmlformats.org/officeDocument/2006/relationships/printerSettings" Target="../printerSettings/printerSettings11.bin"/><Relationship Id="rId6" Type="http://schemas.openxmlformats.org/officeDocument/2006/relationships/table" Target="../tables/table109.xml"/><Relationship Id="rId5" Type="http://schemas.openxmlformats.org/officeDocument/2006/relationships/table" Target="../tables/table108.xml"/><Relationship Id="rId4" Type="http://schemas.openxmlformats.org/officeDocument/2006/relationships/table" Target="../tables/table107.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11.xml"/><Relationship Id="rId2" Type="http://schemas.openxmlformats.org/officeDocument/2006/relationships/table" Target="../tables/table110.xml"/><Relationship Id="rId1" Type="http://schemas.openxmlformats.org/officeDocument/2006/relationships/printerSettings" Target="../printerSettings/printerSettings12.bin"/><Relationship Id="rId5" Type="http://schemas.openxmlformats.org/officeDocument/2006/relationships/table" Target="../tables/table113.xml"/><Relationship Id="rId4" Type="http://schemas.openxmlformats.org/officeDocument/2006/relationships/table" Target="../tables/table11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15.xml"/><Relationship Id="rId2" Type="http://schemas.openxmlformats.org/officeDocument/2006/relationships/table" Target="../tables/table114.xml"/><Relationship Id="rId1" Type="http://schemas.openxmlformats.org/officeDocument/2006/relationships/printerSettings" Target="../printerSettings/printerSettings13.bin"/><Relationship Id="rId4" Type="http://schemas.openxmlformats.org/officeDocument/2006/relationships/table" Target="../tables/table1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3FEE-6456-4324-A693-A7ADD269FD80}">
  <sheetPr codeName="Sheet1"/>
  <dimension ref="A1:BH154"/>
  <sheetViews>
    <sheetView topLeftCell="U1" zoomScale="99" zoomScaleNormal="115" workbookViewId="0">
      <selection activeCell="W49" sqref="W49"/>
    </sheetView>
  </sheetViews>
  <sheetFormatPr defaultRowHeight="14.5" x14ac:dyDescent="0.35"/>
  <cols>
    <col min="1" max="1" width="29.453125" bestFit="1" customWidth="1"/>
    <col min="2" max="2" width="18.54296875" bestFit="1" customWidth="1"/>
    <col min="3" max="3" width="11" bestFit="1" customWidth="1"/>
    <col min="4" max="4" width="21.54296875" bestFit="1" customWidth="1"/>
    <col min="5" max="5" width="10.453125" customWidth="1"/>
    <col min="6" max="6" width="13.81640625" bestFit="1" customWidth="1"/>
    <col min="7" max="7" width="12.7265625" customWidth="1"/>
    <col min="8" max="8" width="23.1796875" bestFit="1" customWidth="1"/>
    <col min="9" max="9" width="28.1796875" bestFit="1" customWidth="1"/>
    <col min="10" max="10" width="26.453125" bestFit="1" customWidth="1"/>
    <col min="11" max="11" width="20.453125" customWidth="1"/>
    <col min="12" max="12" width="25.54296875" bestFit="1" customWidth="1"/>
    <col min="13" max="13" width="24" bestFit="1" customWidth="1"/>
    <col min="14" max="14" width="24.1796875" bestFit="1" customWidth="1"/>
    <col min="15" max="15" width="18.54296875" bestFit="1" customWidth="1"/>
    <col min="16" max="16" width="23" bestFit="1" customWidth="1"/>
    <col min="17" max="17" width="23.26953125" bestFit="1" customWidth="1"/>
    <col min="18" max="18" width="15" bestFit="1" customWidth="1"/>
    <col min="20" max="20" width="17.453125" bestFit="1" customWidth="1"/>
    <col min="21" max="21" width="9.7265625" customWidth="1"/>
    <col min="22" max="22" width="18.54296875" bestFit="1" customWidth="1"/>
    <col min="23" max="23" width="11.26953125" bestFit="1" customWidth="1"/>
    <col min="24" max="24" width="17.453125" bestFit="1" customWidth="1"/>
    <col min="25" max="25" width="42.1796875" bestFit="1" customWidth="1"/>
    <col min="26" max="27" width="20.81640625" bestFit="1" customWidth="1"/>
    <col min="28" max="28" width="13.453125" bestFit="1" customWidth="1"/>
    <col min="29" max="29" width="16.1796875" bestFit="1" customWidth="1"/>
    <col min="30" max="30" width="16.1796875" customWidth="1"/>
    <col min="31" max="31" width="23.26953125" bestFit="1" customWidth="1"/>
    <col min="32" max="32" width="13.81640625" bestFit="1" customWidth="1"/>
    <col min="33" max="33" width="16.7265625" bestFit="1" customWidth="1"/>
    <col min="34" max="34" width="20.1796875" customWidth="1"/>
    <col min="35" max="35" width="16.81640625" customWidth="1"/>
    <col min="36" max="36" width="21.26953125" bestFit="1" customWidth="1"/>
    <col min="37" max="37" width="19.453125" bestFit="1" customWidth="1"/>
    <col min="38" max="38" width="18.54296875" bestFit="1" customWidth="1"/>
    <col min="39" max="39" width="10.26953125" bestFit="1" customWidth="1"/>
    <col min="40" max="40" width="14" bestFit="1" customWidth="1"/>
    <col min="42" max="42" width="22.453125" bestFit="1" customWidth="1"/>
    <col min="43" max="43" width="10.54296875" bestFit="1" customWidth="1"/>
    <col min="44" max="44" width="25.1796875" bestFit="1" customWidth="1"/>
    <col min="45" max="45" width="17.81640625" bestFit="1" customWidth="1"/>
    <col min="46" max="46" width="19.81640625" bestFit="1" customWidth="1"/>
    <col min="47" max="47" width="14.54296875" bestFit="1" customWidth="1"/>
    <col min="48" max="48" width="14.26953125" bestFit="1" customWidth="1"/>
    <col min="49" max="49" width="16.7265625" bestFit="1" customWidth="1"/>
    <col min="50" max="50" width="10.453125" bestFit="1" customWidth="1"/>
    <col min="52" max="52" width="14.7265625" bestFit="1" customWidth="1"/>
    <col min="53" max="53" width="16.453125" bestFit="1" customWidth="1"/>
    <col min="54" max="54" width="14.54296875" bestFit="1" customWidth="1"/>
    <col min="55" max="55" width="20.81640625" bestFit="1" customWidth="1"/>
    <col min="56" max="56" width="20.81640625" customWidth="1"/>
    <col min="57" max="57" width="19.1796875" customWidth="1"/>
    <col min="58" max="58" width="17.54296875" customWidth="1"/>
    <col min="60" max="60" width="20" bestFit="1" customWidth="1"/>
  </cols>
  <sheetData>
    <row r="1" spans="1:37" x14ac:dyDescent="0.35">
      <c r="A1" t="s">
        <v>79</v>
      </c>
      <c r="B1" t="s">
        <v>80</v>
      </c>
      <c r="D1" t="s">
        <v>86</v>
      </c>
      <c r="H1" t="s">
        <v>499</v>
      </c>
      <c r="V1" t="s">
        <v>396</v>
      </c>
    </row>
    <row r="2" spans="1:37" x14ac:dyDescent="0.35">
      <c r="A2">
        <v>1</v>
      </c>
      <c r="B2">
        <v>2</v>
      </c>
      <c r="D2" t="s">
        <v>87</v>
      </c>
      <c r="H2" s="32" t="s">
        <v>397</v>
      </c>
      <c r="I2" s="33" t="s">
        <v>0</v>
      </c>
      <c r="J2" s="33" t="s">
        <v>1</v>
      </c>
      <c r="K2" s="33" t="s">
        <v>2</v>
      </c>
      <c r="L2" s="33" t="s">
        <v>3</v>
      </c>
      <c r="M2" s="33" t="s">
        <v>4</v>
      </c>
      <c r="N2" s="33" t="s">
        <v>5</v>
      </c>
      <c r="V2" t="s">
        <v>397</v>
      </c>
      <c r="W2" t="s">
        <v>131</v>
      </c>
      <c r="X2" t="s">
        <v>308</v>
      </c>
      <c r="Y2" t="s">
        <v>0</v>
      </c>
      <c r="Z2" t="s">
        <v>1</v>
      </c>
      <c r="AA2" t="s">
        <v>2</v>
      </c>
      <c r="AB2" t="s">
        <v>3</v>
      </c>
      <c r="AC2" t="s">
        <v>4</v>
      </c>
      <c r="AD2" t="s">
        <v>5</v>
      </c>
      <c r="AE2" t="s">
        <v>415</v>
      </c>
      <c r="AF2" t="s">
        <v>414</v>
      </c>
      <c r="AG2" t="s">
        <v>413</v>
      </c>
      <c r="AH2" t="s">
        <v>410</v>
      </c>
      <c r="AI2" t="s">
        <v>411</v>
      </c>
      <c r="AJ2" t="s">
        <v>412</v>
      </c>
      <c r="AK2" t="s">
        <v>599</v>
      </c>
    </row>
    <row r="3" spans="1:37" x14ac:dyDescent="0.35">
      <c r="A3">
        <v>2</v>
      </c>
      <c r="B3">
        <v>2</v>
      </c>
      <c r="H3" s="24" t="s">
        <v>242</v>
      </c>
      <c r="I3" s="25">
        <v>11</v>
      </c>
      <c r="J3" s="25">
        <v>17</v>
      </c>
      <c r="K3" s="25">
        <v>14</v>
      </c>
      <c r="L3" s="25">
        <v>20</v>
      </c>
      <c r="M3" s="25">
        <v>11</v>
      </c>
      <c r="N3" s="25">
        <v>14</v>
      </c>
      <c r="V3" t="s">
        <v>398</v>
      </c>
      <c r="W3">
        <v>71</v>
      </c>
      <c r="X3">
        <v>15</v>
      </c>
      <c r="Y3">
        <v>11</v>
      </c>
      <c r="Z3">
        <v>12</v>
      </c>
      <c r="AA3">
        <v>12</v>
      </c>
      <c r="AB3">
        <v>19</v>
      </c>
      <c r="AC3">
        <v>17</v>
      </c>
      <c r="AD3">
        <v>17</v>
      </c>
      <c r="AE3">
        <f>VLOOKUP(Enemies[[#This Row],[Strength]],Modifier[],2,FALSE)</f>
        <v>0</v>
      </c>
      <c r="AF3">
        <f>VLOOKUP(Enemies[[#This Row],[Dexterity]],Modifier[],2,FALSE)</f>
        <v>1</v>
      </c>
      <c r="AG3">
        <v>1</v>
      </c>
      <c r="AH3">
        <v>7</v>
      </c>
      <c r="AI3">
        <v>6</v>
      </c>
      <c r="AJ3">
        <v>6</v>
      </c>
      <c r="AK3">
        <v>2900</v>
      </c>
    </row>
    <row r="4" spans="1:37" x14ac:dyDescent="0.35">
      <c r="A4">
        <v>3</v>
      </c>
      <c r="B4">
        <v>2</v>
      </c>
      <c r="D4" t="s">
        <v>92</v>
      </c>
      <c r="H4" s="26" t="s">
        <v>54</v>
      </c>
      <c r="I4" s="27">
        <v>10</v>
      </c>
      <c r="J4" s="27">
        <v>14</v>
      </c>
      <c r="K4" s="27">
        <v>12</v>
      </c>
      <c r="L4" s="27">
        <v>20</v>
      </c>
      <c r="M4" s="27">
        <v>11</v>
      </c>
      <c r="N4" s="27">
        <v>14</v>
      </c>
      <c r="V4" t="s">
        <v>399</v>
      </c>
      <c r="W4">
        <v>210</v>
      </c>
      <c r="X4">
        <v>10</v>
      </c>
      <c r="Y4">
        <v>15</v>
      </c>
      <c r="Z4">
        <v>10</v>
      </c>
      <c r="AA4">
        <v>20</v>
      </c>
      <c r="AB4">
        <v>21</v>
      </c>
      <c r="AC4">
        <v>19</v>
      </c>
      <c r="AD4">
        <v>24</v>
      </c>
      <c r="AE4">
        <f>VLOOKUP(Enemies[[#This Row],[Strength]],Modifier[],2,FALSE)</f>
        <v>2</v>
      </c>
      <c r="AF4">
        <f>VLOOKUP(Enemies[[#This Row],[Dexterity]],Modifier[],2,FALSE)</f>
        <v>0</v>
      </c>
      <c r="AG4">
        <v>5</v>
      </c>
      <c r="AH4">
        <v>10</v>
      </c>
      <c r="AI4">
        <v>9</v>
      </c>
      <c r="AJ4">
        <v>12</v>
      </c>
      <c r="AK4">
        <v>11500</v>
      </c>
    </row>
    <row r="5" spans="1:37" x14ac:dyDescent="0.35">
      <c r="A5">
        <v>4</v>
      </c>
      <c r="B5">
        <v>2</v>
      </c>
      <c r="D5" t="s">
        <v>84</v>
      </c>
      <c r="H5" s="24" t="s">
        <v>55</v>
      </c>
      <c r="I5" s="25">
        <v>12</v>
      </c>
      <c r="J5" s="25">
        <v>19</v>
      </c>
      <c r="K5" s="25">
        <v>14</v>
      </c>
      <c r="L5" s="25">
        <v>20</v>
      </c>
      <c r="M5" s="25">
        <v>11</v>
      </c>
      <c r="N5" s="25">
        <v>14</v>
      </c>
      <c r="V5" t="s">
        <v>400</v>
      </c>
      <c r="W5">
        <v>127</v>
      </c>
      <c r="X5">
        <v>15</v>
      </c>
      <c r="Y5">
        <v>15</v>
      </c>
      <c r="Z5">
        <v>12</v>
      </c>
      <c r="AA5">
        <v>15</v>
      </c>
      <c r="AB5">
        <v>21</v>
      </c>
      <c r="AC5">
        <v>19</v>
      </c>
      <c r="AD5">
        <v>21</v>
      </c>
      <c r="AE5">
        <f>VLOOKUP(Enemies[[#This Row],[Strength]],Modifier[],2,FALSE)</f>
        <v>2</v>
      </c>
      <c r="AF5">
        <f>VLOOKUP(Enemies[[#This Row],[Dexterity]],Modifier[],2,FALSE)</f>
        <v>1</v>
      </c>
      <c r="AG5">
        <v>2</v>
      </c>
      <c r="AH5">
        <v>9</v>
      </c>
      <c r="AI5">
        <v>9</v>
      </c>
      <c r="AJ5">
        <v>9</v>
      </c>
      <c r="AK5">
        <v>5000</v>
      </c>
    </row>
    <row r="6" spans="1:37" x14ac:dyDescent="0.35">
      <c r="A6">
        <v>5</v>
      </c>
      <c r="B6">
        <v>3</v>
      </c>
      <c r="D6" t="s">
        <v>93</v>
      </c>
      <c r="H6" s="26" t="s">
        <v>489</v>
      </c>
      <c r="I6" s="27">
        <v>11</v>
      </c>
      <c r="J6" s="27">
        <v>20</v>
      </c>
      <c r="K6" s="27">
        <v>15</v>
      </c>
      <c r="L6" s="27">
        <v>20</v>
      </c>
      <c r="M6" s="27">
        <v>11</v>
      </c>
      <c r="N6" s="27">
        <v>14</v>
      </c>
      <c r="V6" t="s">
        <v>401</v>
      </c>
      <c r="W6">
        <v>75</v>
      </c>
      <c r="X6">
        <v>15</v>
      </c>
      <c r="Y6">
        <v>10</v>
      </c>
      <c r="Z6">
        <v>14</v>
      </c>
      <c r="AA6">
        <v>14</v>
      </c>
      <c r="AB6">
        <v>15</v>
      </c>
      <c r="AC6">
        <v>15</v>
      </c>
      <c r="AD6">
        <v>10</v>
      </c>
      <c r="AE6">
        <f>VLOOKUP(Enemies[[#This Row],[Strength]],Modifier[],2,FALSE)</f>
        <v>0</v>
      </c>
      <c r="AF6">
        <f>VLOOKUP(Enemies[[#This Row],[Dexterity]],Modifier[],2,FALSE)</f>
        <v>2</v>
      </c>
      <c r="AG6">
        <v>2</v>
      </c>
      <c r="AH6">
        <v>5</v>
      </c>
      <c r="AI6">
        <v>9</v>
      </c>
      <c r="AJ6">
        <v>0</v>
      </c>
      <c r="AK6">
        <v>1800</v>
      </c>
    </row>
    <row r="7" spans="1:37" x14ac:dyDescent="0.35">
      <c r="A7">
        <v>6</v>
      </c>
      <c r="B7">
        <v>3</v>
      </c>
      <c r="H7" s="24" t="s">
        <v>57</v>
      </c>
      <c r="I7" s="25">
        <v>8</v>
      </c>
      <c r="J7" s="25">
        <v>14</v>
      </c>
      <c r="K7" s="25">
        <v>10</v>
      </c>
      <c r="L7" s="25">
        <v>20</v>
      </c>
      <c r="M7" s="25">
        <v>11</v>
      </c>
      <c r="N7" s="25">
        <v>14</v>
      </c>
      <c r="V7" t="s">
        <v>402</v>
      </c>
      <c r="W7">
        <v>150</v>
      </c>
      <c r="X7">
        <v>15</v>
      </c>
      <c r="Y7">
        <v>11</v>
      </c>
      <c r="Z7">
        <v>12</v>
      </c>
      <c r="AA7">
        <v>16</v>
      </c>
      <c r="AB7">
        <v>19</v>
      </c>
      <c r="AC7">
        <v>17</v>
      </c>
      <c r="AD7">
        <v>17</v>
      </c>
      <c r="AE7">
        <f>VLOOKUP(Enemies[[#This Row],[Strength]],Modifier[],2,FALSE)</f>
        <v>0</v>
      </c>
      <c r="AF7">
        <f>VLOOKUP(Enemies[[#This Row],[Dexterity]],Modifier[],2,FALSE)</f>
        <v>1</v>
      </c>
      <c r="AG7">
        <v>7</v>
      </c>
      <c r="AH7">
        <v>8</v>
      </c>
      <c r="AI7">
        <v>9</v>
      </c>
      <c r="AJ7">
        <v>7</v>
      </c>
      <c r="AK7">
        <v>5900</v>
      </c>
    </row>
    <row r="8" spans="1:37" x14ac:dyDescent="0.35">
      <c r="A8">
        <v>7</v>
      </c>
      <c r="B8">
        <v>3</v>
      </c>
      <c r="D8" t="s">
        <v>112</v>
      </c>
      <c r="E8" t="s">
        <v>501</v>
      </c>
      <c r="H8" s="26" t="s">
        <v>58</v>
      </c>
      <c r="I8" s="27">
        <v>13</v>
      </c>
      <c r="J8" s="27">
        <v>19</v>
      </c>
      <c r="K8" s="27">
        <v>16</v>
      </c>
      <c r="L8" s="27">
        <v>20</v>
      </c>
      <c r="M8" s="27">
        <v>11</v>
      </c>
      <c r="N8" s="27">
        <v>14</v>
      </c>
      <c r="V8" t="s">
        <v>403</v>
      </c>
      <c r="W8">
        <v>135</v>
      </c>
      <c r="X8">
        <v>17</v>
      </c>
      <c r="Y8">
        <v>11</v>
      </c>
      <c r="Z8">
        <v>16</v>
      </c>
      <c r="AA8">
        <v>16</v>
      </c>
      <c r="AB8">
        <v>20</v>
      </c>
      <c r="AC8">
        <v>14</v>
      </c>
      <c r="AD8">
        <v>16</v>
      </c>
      <c r="AE8">
        <f>VLOOKUP(Enemies[[#This Row],[Strength]],Modifier[],2,FALSE)</f>
        <v>0</v>
      </c>
      <c r="AF8">
        <f>VLOOKUP(Enemies[[#This Row],[Dexterity]],Modifier[],2,FALSE)</f>
        <v>3</v>
      </c>
      <c r="AG8">
        <v>10</v>
      </c>
      <c r="AH8">
        <v>12</v>
      </c>
      <c r="AI8">
        <v>9</v>
      </c>
      <c r="AJ8">
        <v>3</v>
      </c>
      <c r="AK8">
        <v>41000</v>
      </c>
    </row>
    <row r="9" spans="1:37" x14ac:dyDescent="0.35">
      <c r="A9">
        <v>8</v>
      </c>
      <c r="B9">
        <v>3</v>
      </c>
      <c r="D9" t="s">
        <v>415</v>
      </c>
      <c r="E9">
        <v>10</v>
      </c>
      <c r="H9" s="24" t="s">
        <v>299</v>
      </c>
      <c r="I9" s="25">
        <v>11</v>
      </c>
      <c r="J9" s="25">
        <v>18</v>
      </c>
      <c r="K9" s="25">
        <v>14</v>
      </c>
      <c r="L9" s="25">
        <v>20</v>
      </c>
      <c r="M9" s="25">
        <v>11</v>
      </c>
      <c r="N9" s="25">
        <v>14</v>
      </c>
      <c r="V9" t="s">
        <v>404</v>
      </c>
      <c r="W9">
        <v>45</v>
      </c>
      <c r="X9">
        <v>13</v>
      </c>
      <c r="Y9">
        <v>17</v>
      </c>
      <c r="Z9">
        <v>12</v>
      </c>
      <c r="AA9">
        <v>16</v>
      </c>
      <c r="AB9">
        <v>6</v>
      </c>
      <c r="AC9">
        <v>12</v>
      </c>
      <c r="AD9">
        <v>7</v>
      </c>
      <c r="AE9">
        <f>VLOOKUP(Enemies[[#This Row],[Strength]],Modifier[],2,FALSE)</f>
        <v>3</v>
      </c>
      <c r="AF9">
        <f>VLOOKUP(Enemies[[#This Row],[Dexterity]],Modifier[],2,FALSE)</f>
        <v>1</v>
      </c>
      <c r="AG9">
        <f>VLOOKUP(Enemies[[#This Row],[Constitution]],Modifier[],2,FALSE)</f>
        <v>3</v>
      </c>
      <c r="AH9">
        <f>VLOOKUP(Enemies[[#This Row],[Intelligence]],Modifier[],2,FALSE)</f>
        <v>-2</v>
      </c>
      <c r="AI9">
        <v>9</v>
      </c>
      <c r="AJ9">
        <f>VLOOKUP(Enemies[[#This Row],[Charisma]],Modifier[],2,FALSE)</f>
        <v>-2</v>
      </c>
      <c r="AK9">
        <v>450</v>
      </c>
    </row>
    <row r="10" spans="1:37" x14ac:dyDescent="0.35">
      <c r="A10">
        <v>9</v>
      </c>
      <c r="B10">
        <v>4</v>
      </c>
      <c r="D10" t="s">
        <v>414</v>
      </c>
      <c r="E10">
        <v>11</v>
      </c>
      <c r="H10" s="26" t="s">
        <v>344</v>
      </c>
      <c r="I10" s="27">
        <v>11</v>
      </c>
      <c r="J10" s="27">
        <v>20</v>
      </c>
      <c r="K10" s="27">
        <v>15</v>
      </c>
      <c r="L10" s="27">
        <v>20</v>
      </c>
      <c r="M10" s="27">
        <v>11</v>
      </c>
      <c r="N10" s="27">
        <v>14</v>
      </c>
      <c r="V10" t="s">
        <v>405</v>
      </c>
      <c r="W10">
        <v>45</v>
      </c>
      <c r="X10">
        <v>13</v>
      </c>
      <c r="Y10">
        <v>17</v>
      </c>
      <c r="Z10">
        <v>12</v>
      </c>
      <c r="AA10">
        <v>16</v>
      </c>
      <c r="AB10">
        <v>6</v>
      </c>
      <c r="AC10">
        <v>12</v>
      </c>
      <c r="AD10">
        <v>7</v>
      </c>
      <c r="AE10">
        <f>VLOOKUP(Enemies[[#This Row],[Strength]],Modifier[],2,FALSE)</f>
        <v>3</v>
      </c>
      <c r="AF10">
        <f>VLOOKUP(Enemies[[#This Row],[Dexterity]],Modifier[],2,FALSE)</f>
        <v>1</v>
      </c>
      <c r="AG10">
        <f>VLOOKUP(Enemies[[#This Row],[Constitution]],Modifier[],2,FALSE)</f>
        <v>3</v>
      </c>
      <c r="AH10">
        <f>VLOOKUP(Enemies[[#This Row],[Intelligence]],Modifier[],2,FALSE)</f>
        <v>-2</v>
      </c>
      <c r="AI10">
        <v>9</v>
      </c>
      <c r="AJ10">
        <f>VLOOKUP(Enemies[[#This Row],[Charisma]],Modifier[],2,FALSE)</f>
        <v>-2</v>
      </c>
      <c r="AK10">
        <v>700</v>
      </c>
    </row>
    <row r="11" spans="1:37" x14ac:dyDescent="0.35">
      <c r="A11">
        <v>10</v>
      </c>
      <c r="B11">
        <v>4</v>
      </c>
      <c r="D11" t="s">
        <v>413</v>
      </c>
      <c r="E11">
        <v>12</v>
      </c>
      <c r="H11" s="24" t="s">
        <v>60</v>
      </c>
      <c r="I11" s="25">
        <v>21</v>
      </c>
      <c r="J11" s="25">
        <v>16</v>
      </c>
      <c r="K11" s="25">
        <v>16</v>
      </c>
      <c r="L11" s="25">
        <v>20</v>
      </c>
      <c r="M11" s="25">
        <v>11</v>
      </c>
      <c r="N11" s="25">
        <v>14</v>
      </c>
      <c r="V11" t="s">
        <v>406</v>
      </c>
      <c r="W11">
        <v>11</v>
      </c>
      <c r="X11">
        <v>11</v>
      </c>
      <c r="Y11">
        <v>16</v>
      </c>
      <c r="Z11">
        <v>12</v>
      </c>
      <c r="AA11">
        <v>12</v>
      </c>
      <c r="AB11">
        <v>9</v>
      </c>
      <c r="AC11">
        <v>8</v>
      </c>
      <c r="AD11">
        <v>6</v>
      </c>
      <c r="AE11">
        <f>VLOOKUP(Enemies[[#This Row],[Strength]],Modifier[],2,FALSE)</f>
        <v>3</v>
      </c>
      <c r="AF11">
        <f>VLOOKUP(Enemies[[#This Row],[Dexterity]],Modifier[],2,FALSE)</f>
        <v>1</v>
      </c>
      <c r="AG11">
        <f>VLOOKUP(Enemies[[#This Row],[Constitution]],Modifier[],2,FALSE)</f>
        <v>1</v>
      </c>
      <c r="AH11">
        <f>VLOOKUP(Enemies[[#This Row],[Intelligence]],Modifier[],2,FALSE)</f>
        <v>-1</v>
      </c>
      <c r="AI11">
        <v>9</v>
      </c>
      <c r="AJ11">
        <f>VLOOKUP(Enemies[[#This Row],[Charisma]],Modifier[],2,FALSE)</f>
        <v>-2</v>
      </c>
      <c r="AK11">
        <v>50</v>
      </c>
    </row>
    <row r="12" spans="1:37" x14ac:dyDescent="0.35">
      <c r="A12">
        <v>11</v>
      </c>
      <c r="B12">
        <v>4</v>
      </c>
      <c r="D12" t="s">
        <v>410</v>
      </c>
      <c r="E12">
        <v>13</v>
      </c>
      <c r="H12" s="26" t="s">
        <v>61</v>
      </c>
      <c r="I12" s="27">
        <v>27</v>
      </c>
      <c r="J12" s="27">
        <v>7</v>
      </c>
      <c r="K12" s="27">
        <v>21</v>
      </c>
      <c r="L12" s="27">
        <v>20</v>
      </c>
      <c r="M12" s="27">
        <v>11</v>
      </c>
      <c r="N12" s="27">
        <v>14</v>
      </c>
      <c r="V12" t="s">
        <v>407</v>
      </c>
      <c r="W12">
        <v>71</v>
      </c>
      <c r="X12">
        <v>15</v>
      </c>
      <c r="Y12">
        <v>11</v>
      </c>
      <c r="Z12">
        <v>12</v>
      </c>
      <c r="AA12">
        <v>12</v>
      </c>
      <c r="AB12">
        <v>19</v>
      </c>
      <c r="AC12">
        <v>17</v>
      </c>
      <c r="AD12">
        <v>17</v>
      </c>
      <c r="AE12">
        <f>VLOOKUP(Enemies[[#This Row],[Strength]],Modifier[],2,FALSE)</f>
        <v>0</v>
      </c>
      <c r="AF12">
        <f>VLOOKUP(Enemies[[#This Row],[Dexterity]],Modifier[],2,FALSE)</f>
        <v>1</v>
      </c>
      <c r="AG12">
        <v>1</v>
      </c>
      <c r="AH12">
        <v>7</v>
      </c>
      <c r="AI12">
        <v>9</v>
      </c>
      <c r="AJ12">
        <v>6</v>
      </c>
      <c r="AK12">
        <v>3900</v>
      </c>
    </row>
    <row r="13" spans="1:37" x14ac:dyDescent="0.35">
      <c r="A13">
        <v>12</v>
      </c>
      <c r="B13">
        <v>4</v>
      </c>
      <c r="D13" t="s">
        <v>411</v>
      </c>
      <c r="E13">
        <v>14</v>
      </c>
      <c r="H13" s="24" t="s">
        <v>300</v>
      </c>
      <c r="I13" s="25">
        <v>19</v>
      </c>
      <c r="J13" s="25">
        <v>16</v>
      </c>
      <c r="K13" s="25">
        <v>16</v>
      </c>
      <c r="L13" s="25">
        <v>20</v>
      </c>
      <c r="M13" s="25">
        <v>11</v>
      </c>
      <c r="N13" s="25">
        <v>14</v>
      </c>
      <c r="V13" t="s">
        <v>408</v>
      </c>
      <c r="W13">
        <v>71</v>
      </c>
      <c r="X13">
        <v>15</v>
      </c>
      <c r="Y13">
        <v>11</v>
      </c>
      <c r="Z13">
        <v>12</v>
      </c>
      <c r="AA13">
        <v>12</v>
      </c>
      <c r="AB13">
        <v>19</v>
      </c>
      <c r="AC13">
        <v>17</v>
      </c>
      <c r="AD13">
        <v>17</v>
      </c>
      <c r="AE13">
        <f>VLOOKUP(Enemies[[#This Row],[Strength]],Modifier[],2,FALSE)</f>
        <v>0</v>
      </c>
      <c r="AF13">
        <f>VLOOKUP(Enemies[[#This Row],[Dexterity]],Modifier[],2,FALSE)</f>
        <v>1</v>
      </c>
      <c r="AG13">
        <v>1</v>
      </c>
      <c r="AH13">
        <v>7</v>
      </c>
      <c r="AI13">
        <v>9</v>
      </c>
      <c r="AJ13">
        <v>6</v>
      </c>
      <c r="AK13">
        <v>3900</v>
      </c>
    </row>
    <row r="14" spans="1:37" x14ac:dyDescent="0.35">
      <c r="A14">
        <v>13</v>
      </c>
      <c r="B14">
        <v>5</v>
      </c>
      <c r="D14" t="s">
        <v>412</v>
      </c>
      <c r="E14">
        <v>15</v>
      </c>
      <c r="H14" s="26" t="s">
        <v>486</v>
      </c>
      <c r="I14" s="27">
        <v>11</v>
      </c>
      <c r="J14" s="27">
        <v>20</v>
      </c>
      <c r="K14" s="27">
        <v>15</v>
      </c>
      <c r="L14" s="27">
        <v>20</v>
      </c>
      <c r="M14" s="27">
        <v>11</v>
      </c>
      <c r="N14" s="27">
        <v>14</v>
      </c>
      <c r="V14" t="s">
        <v>409</v>
      </c>
      <c r="W14">
        <v>85</v>
      </c>
      <c r="X14">
        <v>15</v>
      </c>
      <c r="Y14">
        <v>18</v>
      </c>
      <c r="Z14">
        <v>18</v>
      </c>
      <c r="AA14">
        <v>18</v>
      </c>
      <c r="AB14">
        <v>5</v>
      </c>
      <c r="AC14">
        <v>15</v>
      </c>
      <c r="AD14">
        <v>18</v>
      </c>
      <c r="AE14">
        <f>VLOOKUP(Enemies[[#This Row],[Strength]],Modifier[],2,FALSE)</f>
        <v>4</v>
      </c>
      <c r="AF14">
        <v>7</v>
      </c>
      <c r="AG14">
        <v>4</v>
      </c>
      <c r="AH14">
        <v>0</v>
      </c>
      <c r="AI14">
        <v>9</v>
      </c>
      <c r="AJ14">
        <v>7</v>
      </c>
      <c r="AK14">
        <v>1800</v>
      </c>
    </row>
    <row r="15" spans="1:37" x14ac:dyDescent="0.35">
      <c r="A15">
        <v>14</v>
      </c>
      <c r="B15">
        <v>5</v>
      </c>
      <c r="H15" s="24" t="s">
        <v>63</v>
      </c>
      <c r="I15">
        <v>14</v>
      </c>
      <c r="J15">
        <v>17</v>
      </c>
      <c r="K15">
        <v>18</v>
      </c>
      <c r="L15">
        <v>20</v>
      </c>
      <c r="M15">
        <v>11</v>
      </c>
      <c r="N15">
        <v>14</v>
      </c>
      <c r="V15" t="s">
        <v>601</v>
      </c>
      <c r="W15">
        <v>180</v>
      </c>
      <c r="X15">
        <v>18</v>
      </c>
      <c r="Y15">
        <v>10</v>
      </c>
      <c r="Z15">
        <v>14</v>
      </c>
      <c r="AA15">
        <v>18</v>
      </c>
      <c r="AB15">
        <v>17</v>
      </c>
      <c r="AC15">
        <v>15</v>
      </c>
      <c r="AD15">
        <v>17</v>
      </c>
      <c r="AE15">
        <f>VLOOKUP(Enemies[[#This Row],[Strength]],Modifier[],2,FALSE)</f>
        <v>0</v>
      </c>
      <c r="AF15">
        <f>VLOOKUP(Enemies[[#This Row],[Dexterity]],Modifier[],2,FALSE)</f>
        <v>2</v>
      </c>
      <c r="AG15">
        <f>VLOOKUP(Enemies[[#This Row],[Constitution]],Modifier[],2,FALSE)</f>
        <v>4</v>
      </c>
      <c r="AH15">
        <v>8</v>
      </c>
      <c r="AI15">
        <v>7</v>
      </c>
      <c r="AJ15">
        <v>8</v>
      </c>
      <c r="AK15">
        <v>11500</v>
      </c>
    </row>
    <row r="16" spans="1:37" x14ac:dyDescent="0.35">
      <c r="A16">
        <v>15</v>
      </c>
      <c r="B16">
        <v>5</v>
      </c>
      <c r="D16" t="s">
        <v>113</v>
      </c>
      <c r="E16" t="s">
        <v>6</v>
      </c>
      <c r="H16" s="26" t="s">
        <v>64</v>
      </c>
      <c r="I16">
        <v>18</v>
      </c>
      <c r="J16">
        <v>18</v>
      </c>
      <c r="K16">
        <v>18</v>
      </c>
      <c r="L16">
        <v>20</v>
      </c>
      <c r="M16">
        <v>11</v>
      </c>
      <c r="N16">
        <v>14</v>
      </c>
      <c r="V16" t="s">
        <v>63</v>
      </c>
      <c r="W16">
        <v>110</v>
      </c>
      <c r="X16">
        <v>16</v>
      </c>
      <c r="Y16">
        <v>14</v>
      </c>
      <c r="Z16">
        <v>17</v>
      </c>
      <c r="AA16">
        <v>18</v>
      </c>
      <c r="AB16">
        <v>13</v>
      </c>
      <c r="AC16">
        <v>16</v>
      </c>
      <c r="AD16">
        <v>20</v>
      </c>
      <c r="AE16">
        <f>VLOOKUP(Enemies[[#This Row],[Strength]],Modifier[],2,FALSE)</f>
        <v>2</v>
      </c>
      <c r="AF16">
        <f>VLOOKUP(Enemies[[#This Row],[Dexterity]],Modifier[],2,FALSE)</f>
        <v>3</v>
      </c>
      <c r="AG16">
        <f>VLOOKUP(Enemies[[#This Row],[Constitution]],Modifier[],2,FALSE)</f>
        <v>4</v>
      </c>
      <c r="AH16">
        <f>VLOOKUP(Enemies[[#This Row],[Intelligence]],Modifier[],2,FALSE)</f>
        <v>1</v>
      </c>
      <c r="AI16">
        <f>VLOOKUP(Enemies[[#This Row],[Wisdom]],Modifier[],2,FALSE)</f>
        <v>3</v>
      </c>
      <c r="AJ16">
        <f>VLOOKUP(Enemies[[#This Row],[Charisma]],Modifier[],2,FALSE)</f>
        <v>5</v>
      </c>
      <c r="AK16">
        <v>10000</v>
      </c>
    </row>
    <row r="17" spans="1:37" x14ac:dyDescent="0.35">
      <c r="A17">
        <v>16</v>
      </c>
      <c r="B17">
        <v>5</v>
      </c>
      <c r="D17" t="s">
        <v>94</v>
      </c>
      <c r="E17" t="s">
        <v>1</v>
      </c>
      <c r="H17" t="s">
        <v>676</v>
      </c>
      <c r="I17">
        <v>12</v>
      </c>
      <c r="J17">
        <v>18</v>
      </c>
      <c r="K17">
        <v>16</v>
      </c>
      <c r="L17">
        <v>11</v>
      </c>
      <c r="M17">
        <v>18</v>
      </c>
      <c r="N17">
        <v>12</v>
      </c>
      <c r="V17" t="s">
        <v>604</v>
      </c>
      <c r="W17">
        <v>143</v>
      </c>
      <c r="X17">
        <v>16</v>
      </c>
      <c r="Y17">
        <v>11</v>
      </c>
      <c r="Z17">
        <v>15</v>
      </c>
      <c r="AA17">
        <v>14</v>
      </c>
      <c r="AB17">
        <v>16</v>
      </c>
      <c r="AC17">
        <v>21</v>
      </c>
      <c r="AD17">
        <v>20</v>
      </c>
      <c r="AE17">
        <f>VLOOKUP(Enemies[[#This Row],[Strength]],Modifier[],2,FALSE)</f>
        <v>0</v>
      </c>
      <c r="AF17">
        <f>VLOOKUP(Enemies[[#This Row],[Dexterity]],Modifier[],2,FALSE)</f>
        <v>2</v>
      </c>
      <c r="AG17">
        <f>VLOOKUP(Enemies[[#This Row],[Constitution]],Modifier[],2,FALSE)</f>
        <v>2</v>
      </c>
      <c r="AH17">
        <f>VLOOKUP(Enemies[[#This Row],[Intelligence]],Modifier[],2,FALSE)</f>
        <v>3</v>
      </c>
      <c r="AI17">
        <f>VLOOKUP(Enemies[[#This Row],[Wisdom]],Modifier[],2,FALSE)</f>
        <v>5</v>
      </c>
      <c r="AJ17">
        <f>VLOOKUP(Enemies[[#This Row],[Charisma]],Modifier[],2,FALSE)</f>
        <v>5</v>
      </c>
      <c r="AK17">
        <v>11500</v>
      </c>
    </row>
    <row r="18" spans="1:37" x14ac:dyDescent="0.35">
      <c r="A18">
        <v>17</v>
      </c>
      <c r="B18">
        <v>6</v>
      </c>
      <c r="D18" t="s">
        <v>95</v>
      </c>
      <c r="E18" t="s">
        <v>4</v>
      </c>
      <c r="H18" t="s">
        <v>677</v>
      </c>
      <c r="I18">
        <v>18</v>
      </c>
      <c r="J18">
        <v>12</v>
      </c>
      <c r="K18">
        <v>13</v>
      </c>
      <c r="L18">
        <v>7</v>
      </c>
      <c r="M18">
        <v>12</v>
      </c>
      <c r="N18">
        <v>7</v>
      </c>
      <c r="V18" t="s">
        <v>605</v>
      </c>
      <c r="Y18">
        <v>23</v>
      </c>
      <c r="Z18">
        <v>13</v>
      </c>
      <c r="AA18">
        <v>19</v>
      </c>
      <c r="AB18">
        <v>19</v>
      </c>
      <c r="AC18">
        <v>17</v>
      </c>
      <c r="AD18">
        <v>20</v>
      </c>
      <c r="AE18">
        <f>VLOOKUP(Enemies[[#This Row],[Strength]],Modifier[],2,FALSE)</f>
        <v>6</v>
      </c>
      <c r="AF18">
        <f>VLOOKUP(Enemies[[#This Row],[Dexterity]],Modifier[],2,FALSE)</f>
        <v>1</v>
      </c>
      <c r="AG18">
        <f>VLOOKUP(Enemies[[#This Row],[Constitution]],Modifier[],2,FALSE)</f>
        <v>4</v>
      </c>
      <c r="AH18">
        <f>VLOOKUP(Enemies[[#This Row],[Intelligence]],Modifier[],2,FALSE)</f>
        <v>4</v>
      </c>
      <c r="AI18">
        <f>VLOOKUP(Enemies[[#This Row],[Wisdom]],Modifier[],2,FALSE)</f>
        <v>3</v>
      </c>
      <c r="AJ18">
        <f>VLOOKUP(Enemies[[#This Row],[Charisma]],Modifier[],2,FALSE)</f>
        <v>5</v>
      </c>
      <c r="AK18">
        <v>8400</v>
      </c>
    </row>
    <row r="19" spans="1:37" x14ac:dyDescent="0.35">
      <c r="A19">
        <v>18</v>
      </c>
      <c r="B19">
        <v>6</v>
      </c>
      <c r="D19" t="s">
        <v>96</v>
      </c>
      <c r="E19" t="s">
        <v>3</v>
      </c>
      <c r="H19" t="s">
        <v>678</v>
      </c>
      <c r="I19">
        <v>18</v>
      </c>
      <c r="J19">
        <v>10</v>
      </c>
      <c r="K19">
        <v>12</v>
      </c>
      <c r="L19">
        <v>2</v>
      </c>
      <c r="M19">
        <v>11</v>
      </c>
      <c r="N19">
        <v>7</v>
      </c>
      <c r="V19" t="s">
        <v>606</v>
      </c>
      <c r="Y19">
        <v>19</v>
      </c>
      <c r="Z19">
        <v>16</v>
      </c>
      <c r="AA19">
        <v>17</v>
      </c>
      <c r="AB19">
        <v>17</v>
      </c>
      <c r="AC19">
        <v>15</v>
      </c>
      <c r="AD19">
        <v>18</v>
      </c>
      <c r="AE19">
        <f>VLOOKUP(Enemies[[#This Row],[Strength]],Modifier[],2,FALSE)</f>
        <v>4</v>
      </c>
      <c r="AF19">
        <f>VLOOKUP(Enemies[[#This Row],[Dexterity]],Modifier[],2,FALSE)</f>
        <v>3</v>
      </c>
      <c r="AG19">
        <f>VLOOKUP(Enemies[[#This Row],[Constitution]],Modifier[],2,FALSE)</f>
        <v>3</v>
      </c>
      <c r="AH19">
        <f>VLOOKUP(Enemies[[#This Row],[Intelligence]],Modifier[],2,FALSE)</f>
        <v>3</v>
      </c>
      <c r="AI19">
        <f>VLOOKUP(Enemies[[#This Row],[Wisdom]],Modifier[],2,FALSE)</f>
        <v>2</v>
      </c>
      <c r="AJ19">
        <f>VLOOKUP(Enemies[[#This Row],[Charisma]],Modifier[],2,FALSE)</f>
        <v>4</v>
      </c>
      <c r="AK19">
        <v>2900</v>
      </c>
    </row>
    <row r="20" spans="1:37" x14ac:dyDescent="0.35">
      <c r="A20">
        <v>19</v>
      </c>
      <c r="B20">
        <v>6</v>
      </c>
      <c r="D20" t="s">
        <v>97</v>
      </c>
      <c r="E20" t="s">
        <v>0</v>
      </c>
      <c r="V20" t="s">
        <v>607</v>
      </c>
      <c r="Y20">
        <v>16</v>
      </c>
      <c r="Z20">
        <v>14</v>
      </c>
      <c r="AA20">
        <v>13</v>
      </c>
      <c r="AB20">
        <v>14</v>
      </c>
      <c r="AC20">
        <v>12</v>
      </c>
      <c r="AD20">
        <v>16</v>
      </c>
      <c r="AE20">
        <f>VLOOKUP(Enemies[[#This Row],[Strength]],Modifier[],2,FALSE)</f>
        <v>3</v>
      </c>
      <c r="AF20">
        <f>VLOOKUP(Enemies[[#This Row],[Dexterity]],Modifier[],2,FALSE)</f>
        <v>2</v>
      </c>
      <c r="AG20">
        <f>VLOOKUP(Enemies[[#This Row],[Constitution]],Modifier[],2,FALSE)</f>
        <v>1</v>
      </c>
      <c r="AH20">
        <f>VLOOKUP(Enemies[[#This Row],[Intelligence]],Modifier[],2,FALSE)</f>
        <v>2</v>
      </c>
      <c r="AI20">
        <v>4</v>
      </c>
      <c r="AJ20">
        <v>6</v>
      </c>
      <c r="AK20">
        <v>1800</v>
      </c>
    </row>
    <row r="21" spans="1:37" x14ac:dyDescent="0.35">
      <c r="A21">
        <v>20</v>
      </c>
      <c r="B21">
        <v>6</v>
      </c>
      <c r="D21" t="s">
        <v>98</v>
      </c>
      <c r="E21" t="s">
        <v>5</v>
      </c>
      <c r="V21" t="s">
        <v>608</v>
      </c>
      <c r="Y21">
        <v>16</v>
      </c>
      <c r="Z21">
        <v>14</v>
      </c>
      <c r="AA21">
        <v>13</v>
      </c>
      <c r="AB21">
        <v>14</v>
      </c>
      <c r="AC21">
        <v>12</v>
      </c>
      <c r="AD21">
        <v>16</v>
      </c>
      <c r="AE21">
        <f>VLOOKUP(Enemies[[#This Row],[Strength]],Modifier[],2,FALSE)</f>
        <v>3</v>
      </c>
      <c r="AF21">
        <f>VLOOKUP(Enemies[[#This Row],[Dexterity]],Modifier[],2,FALSE)</f>
        <v>2</v>
      </c>
      <c r="AG21">
        <f>VLOOKUP(Enemies[[#This Row],[Constitution]],Modifier[],2,FALSE)</f>
        <v>1</v>
      </c>
      <c r="AH21">
        <f>VLOOKUP(Enemies[[#This Row],[Intelligence]],Modifier[],2,FALSE)</f>
        <v>2</v>
      </c>
      <c r="AI21">
        <v>3</v>
      </c>
      <c r="AJ21">
        <v>5</v>
      </c>
      <c r="AK21">
        <v>1100</v>
      </c>
    </row>
    <row r="22" spans="1:37" x14ac:dyDescent="0.35">
      <c r="A22">
        <v>21</v>
      </c>
      <c r="B22">
        <v>7</v>
      </c>
      <c r="D22" t="s">
        <v>99</v>
      </c>
      <c r="E22" t="s">
        <v>3</v>
      </c>
      <c r="V22" t="s">
        <v>609</v>
      </c>
      <c r="AE22" t="e">
        <f>VLOOKUP(Enemies[[#This Row],[Strength]],Modifier[],2,FALSE)</f>
        <v>#N/A</v>
      </c>
      <c r="AF22" t="e">
        <f>VLOOKUP(Enemies[[#This Row],[Dexterity]],Modifier[],2,FALSE)</f>
        <v>#N/A</v>
      </c>
      <c r="AG22" t="e">
        <f>VLOOKUP(Enemies[[#This Row],[Constitution]],Modifier[],2,FALSE)</f>
        <v>#N/A</v>
      </c>
      <c r="AH22" t="e">
        <f>VLOOKUP(Enemies[[#This Row],[Intelligence]],Modifier[],2,FALSE)</f>
        <v>#N/A</v>
      </c>
      <c r="AI22" t="e">
        <f>VLOOKUP(Enemies[[#This Row],[Wisdom]],Modifier[],2,FALSE)</f>
        <v>#N/A</v>
      </c>
      <c r="AJ22" t="e">
        <f>VLOOKUP(Enemies[[#This Row],[Charisma]],Modifier[],2,FALSE)</f>
        <v>#N/A</v>
      </c>
      <c r="AK22">
        <v>1100</v>
      </c>
    </row>
    <row r="23" spans="1:37" x14ac:dyDescent="0.35">
      <c r="A23">
        <v>22</v>
      </c>
      <c r="B23">
        <v>7</v>
      </c>
      <c r="D23" t="s">
        <v>100</v>
      </c>
      <c r="E23" t="s">
        <v>4</v>
      </c>
      <c r="V23" t="s">
        <v>610</v>
      </c>
      <c r="AE23" s="2"/>
      <c r="AK23">
        <v>700</v>
      </c>
    </row>
    <row r="24" spans="1:37" x14ac:dyDescent="0.35">
      <c r="A24">
        <v>23</v>
      </c>
      <c r="B24">
        <v>7</v>
      </c>
      <c r="D24" t="s">
        <v>101</v>
      </c>
      <c r="E24" t="s">
        <v>5</v>
      </c>
      <c r="V24" t="s">
        <v>611</v>
      </c>
      <c r="AE24" s="2"/>
      <c r="AK24">
        <v>700</v>
      </c>
    </row>
    <row r="25" spans="1:37" x14ac:dyDescent="0.35">
      <c r="A25">
        <v>24</v>
      </c>
      <c r="B25">
        <v>7</v>
      </c>
      <c r="D25" t="s">
        <v>102</v>
      </c>
      <c r="E25" t="s">
        <v>3</v>
      </c>
      <c r="V25" t="s">
        <v>612</v>
      </c>
      <c r="AE25" s="2"/>
      <c r="AK25">
        <v>450</v>
      </c>
    </row>
    <row r="26" spans="1:37" x14ac:dyDescent="0.35">
      <c r="A26">
        <v>25</v>
      </c>
      <c r="B26">
        <v>8</v>
      </c>
      <c r="D26" t="s">
        <v>103</v>
      </c>
      <c r="E26" t="s">
        <v>4</v>
      </c>
      <c r="V26" t="s">
        <v>613</v>
      </c>
      <c r="AE26" s="2"/>
      <c r="AK26">
        <v>200</v>
      </c>
    </row>
    <row r="27" spans="1:37" x14ac:dyDescent="0.35">
      <c r="A27">
        <v>26</v>
      </c>
      <c r="B27">
        <v>8</v>
      </c>
      <c r="D27" t="s">
        <v>104</v>
      </c>
      <c r="E27" t="s">
        <v>3</v>
      </c>
      <c r="V27" t="s">
        <v>614</v>
      </c>
      <c r="W27">
        <v>135</v>
      </c>
      <c r="X27">
        <v>17</v>
      </c>
      <c r="Y27">
        <v>11</v>
      </c>
      <c r="Z27">
        <v>16</v>
      </c>
      <c r="AA27">
        <v>16</v>
      </c>
      <c r="AB27">
        <v>20</v>
      </c>
      <c r="AC27">
        <v>14</v>
      </c>
      <c r="AD27">
        <v>16</v>
      </c>
      <c r="AE27">
        <f>VLOOKUP(Enemies[[#This Row],[Strength]],Modifier[],2,FALSE)</f>
        <v>0</v>
      </c>
      <c r="AF27">
        <f>VLOOKUP(Enemies[[#This Row],[Dexterity]],Modifier[],2,FALSE)</f>
        <v>3</v>
      </c>
      <c r="AG27">
        <f>VLOOKUP(Enemies[[#This Row],[Constitution]],Modifier[],2,FALSE)</f>
        <v>3</v>
      </c>
      <c r="AH27">
        <f>VLOOKUP(Enemies[[#This Row],[Intelligence]],Modifier[],2,FALSE)</f>
        <v>5</v>
      </c>
      <c r="AI27">
        <f>VLOOKUP(Enemies[[#This Row],[Wisdom]],Modifier[],2,FALSE)</f>
        <v>2</v>
      </c>
      <c r="AJ27">
        <f>VLOOKUP(Enemies[[#This Row],[Charisma]],Modifier[],2,FALSE)</f>
        <v>3</v>
      </c>
      <c r="AK27">
        <v>41000</v>
      </c>
    </row>
    <row r="28" spans="1:37" x14ac:dyDescent="0.35">
      <c r="A28">
        <v>27</v>
      </c>
      <c r="B28">
        <v>8</v>
      </c>
      <c r="D28" t="s">
        <v>105</v>
      </c>
      <c r="E28" t="s">
        <v>4</v>
      </c>
      <c r="V28" t="s">
        <v>615</v>
      </c>
      <c r="AE28" s="2"/>
      <c r="AK28">
        <v>50</v>
      </c>
    </row>
    <row r="29" spans="1:37" x14ac:dyDescent="0.35">
      <c r="A29">
        <v>28</v>
      </c>
      <c r="B29">
        <v>8</v>
      </c>
      <c r="D29" t="s">
        <v>106</v>
      </c>
      <c r="E29" t="s">
        <v>5</v>
      </c>
      <c r="V29" t="s">
        <v>616</v>
      </c>
      <c r="AE29" s="2"/>
      <c r="AK29">
        <v>50</v>
      </c>
    </row>
    <row r="30" spans="1:37" x14ac:dyDescent="0.35">
      <c r="A30">
        <v>29</v>
      </c>
      <c r="B30">
        <v>8</v>
      </c>
      <c r="D30" t="s">
        <v>107</v>
      </c>
      <c r="E30" t="s">
        <v>5</v>
      </c>
      <c r="V30" t="s">
        <v>617</v>
      </c>
      <c r="AE30" s="2"/>
      <c r="AK30">
        <v>450</v>
      </c>
    </row>
    <row r="31" spans="1:37" x14ac:dyDescent="0.35">
      <c r="A31">
        <v>30</v>
      </c>
      <c r="B31">
        <v>8</v>
      </c>
      <c r="D31" t="s">
        <v>108</v>
      </c>
      <c r="E31" t="s">
        <v>3</v>
      </c>
      <c r="V31" t="s">
        <v>618</v>
      </c>
      <c r="AE31" s="2"/>
      <c r="AK31">
        <v>700</v>
      </c>
    </row>
    <row r="32" spans="1:37" x14ac:dyDescent="0.35">
      <c r="D32" t="s">
        <v>109</v>
      </c>
      <c r="E32" t="s">
        <v>1</v>
      </c>
      <c r="V32" t="s">
        <v>619</v>
      </c>
      <c r="AE32" s="2"/>
      <c r="AK32">
        <v>700</v>
      </c>
    </row>
    <row r="33" spans="1:37" x14ac:dyDescent="0.35">
      <c r="A33" t="s">
        <v>81</v>
      </c>
      <c r="B33" t="s">
        <v>82</v>
      </c>
      <c r="D33" t="s">
        <v>110</v>
      </c>
      <c r="E33" t="s">
        <v>1</v>
      </c>
      <c r="V33" t="s">
        <v>620</v>
      </c>
      <c r="AE33" s="2"/>
      <c r="AK33">
        <v>100</v>
      </c>
    </row>
    <row r="34" spans="1:37" x14ac:dyDescent="0.35">
      <c r="A34">
        <v>30</v>
      </c>
      <c r="B34">
        <v>10</v>
      </c>
      <c r="D34" t="s">
        <v>111</v>
      </c>
      <c r="E34" t="s">
        <v>4</v>
      </c>
      <c r="V34" t="s">
        <v>54</v>
      </c>
      <c r="AE34" s="2"/>
      <c r="AK34">
        <v>8400</v>
      </c>
    </row>
    <row r="35" spans="1:37" x14ac:dyDescent="0.35">
      <c r="A35">
        <v>29</v>
      </c>
      <c r="B35">
        <v>9</v>
      </c>
      <c r="V35" t="s">
        <v>55</v>
      </c>
      <c r="AE35" s="2"/>
      <c r="AK35">
        <v>5000</v>
      </c>
    </row>
    <row r="36" spans="1:37" x14ac:dyDescent="0.35">
      <c r="A36">
        <v>28</v>
      </c>
      <c r="B36">
        <v>9</v>
      </c>
      <c r="D36" t="s">
        <v>114</v>
      </c>
      <c r="E36" t="s">
        <v>82</v>
      </c>
      <c r="F36" t="s">
        <v>509</v>
      </c>
      <c r="V36" t="s">
        <v>56</v>
      </c>
      <c r="AE36" s="2"/>
      <c r="AK36">
        <v>10000</v>
      </c>
    </row>
    <row r="37" spans="1:37" x14ac:dyDescent="0.35">
      <c r="A37">
        <v>27</v>
      </c>
      <c r="B37">
        <v>8</v>
      </c>
      <c r="D37" t="s">
        <v>92</v>
      </c>
      <c r="E37">
        <v>0</v>
      </c>
      <c r="F37">
        <v>0</v>
      </c>
      <c r="V37" t="s">
        <v>57</v>
      </c>
      <c r="AE37" s="2"/>
      <c r="AK37">
        <v>2300</v>
      </c>
    </row>
    <row r="38" spans="1:37" x14ac:dyDescent="0.35">
      <c r="A38">
        <v>26</v>
      </c>
      <c r="B38">
        <v>8</v>
      </c>
      <c r="D38" t="s">
        <v>84</v>
      </c>
      <c r="E38">
        <v>1</v>
      </c>
      <c r="F38">
        <v>9</v>
      </c>
      <c r="H38" t="s">
        <v>345</v>
      </c>
      <c r="V38" t="s">
        <v>539</v>
      </c>
      <c r="AE38" s="2"/>
      <c r="AK38">
        <v>15000</v>
      </c>
    </row>
    <row r="39" spans="1:37" x14ac:dyDescent="0.35">
      <c r="A39">
        <v>25</v>
      </c>
      <c r="B39">
        <v>7</v>
      </c>
      <c r="D39" t="s">
        <v>93</v>
      </c>
      <c r="E39">
        <v>2</v>
      </c>
      <c r="F39">
        <v>18</v>
      </c>
      <c r="H39" t="s">
        <v>297</v>
      </c>
      <c r="I39" t="s">
        <v>341</v>
      </c>
      <c r="J39" t="s">
        <v>308</v>
      </c>
      <c r="K39" t="s">
        <v>0</v>
      </c>
      <c r="L39" t="s">
        <v>1</v>
      </c>
      <c r="M39" t="s">
        <v>2</v>
      </c>
      <c r="N39" t="s">
        <v>3</v>
      </c>
      <c r="O39" t="s">
        <v>4</v>
      </c>
      <c r="P39" t="s">
        <v>5</v>
      </c>
      <c r="V39" t="s">
        <v>299</v>
      </c>
      <c r="AE39" s="2"/>
      <c r="AK39">
        <v>5000</v>
      </c>
    </row>
    <row r="40" spans="1:37" x14ac:dyDescent="0.35">
      <c r="A40">
        <v>24</v>
      </c>
      <c r="B40">
        <v>7</v>
      </c>
      <c r="H40" t="s">
        <v>342</v>
      </c>
      <c r="I40">
        <v>11</v>
      </c>
      <c r="J40">
        <v>13</v>
      </c>
      <c r="K40">
        <v>12</v>
      </c>
      <c r="L40">
        <v>15</v>
      </c>
      <c r="M40">
        <v>12</v>
      </c>
      <c r="N40">
        <v>3</v>
      </c>
      <c r="O40">
        <v>12</v>
      </c>
      <c r="P40">
        <v>6</v>
      </c>
      <c r="V40" t="s">
        <v>60</v>
      </c>
      <c r="AE40" s="2"/>
      <c r="AK40">
        <v>8400</v>
      </c>
    </row>
    <row r="41" spans="1:37" x14ac:dyDescent="0.35">
      <c r="A41">
        <v>23</v>
      </c>
      <c r="B41">
        <v>6</v>
      </c>
      <c r="D41" t="s">
        <v>117</v>
      </c>
      <c r="E41" t="s">
        <v>82</v>
      </c>
      <c r="F41" t="s">
        <v>119</v>
      </c>
      <c r="H41" t="s">
        <v>343</v>
      </c>
      <c r="I41">
        <v>1</v>
      </c>
      <c r="J41">
        <v>15</v>
      </c>
      <c r="K41">
        <v>2</v>
      </c>
      <c r="L41">
        <v>20</v>
      </c>
      <c r="M41">
        <v>8</v>
      </c>
      <c r="N41">
        <v>10</v>
      </c>
      <c r="O41">
        <v>14</v>
      </c>
      <c r="P41">
        <v>15</v>
      </c>
      <c r="V41" t="s">
        <v>61</v>
      </c>
      <c r="AE41" s="2"/>
      <c r="AK41">
        <v>10000</v>
      </c>
    </row>
    <row r="42" spans="1:37" x14ac:dyDescent="0.35">
      <c r="A42">
        <v>22</v>
      </c>
      <c r="B42">
        <v>6</v>
      </c>
      <c r="D42" t="s">
        <v>118</v>
      </c>
      <c r="E42">
        <v>12</v>
      </c>
      <c r="F42" t="s">
        <v>86</v>
      </c>
      <c r="H42" t="s">
        <v>346</v>
      </c>
      <c r="I42">
        <v>52</v>
      </c>
      <c r="J42">
        <v>15</v>
      </c>
      <c r="K42">
        <v>15</v>
      </c>
      <c r="L42">
        <v>13</v>
      </c>
      <c r="M42">
        <v>15</v>
      </c>
      <c r="N42">
        <v>1</v>
      </c>
      <c r="O42">
        <v>9</v>
      </c>
      <c r="P42">
        <v>3</v>
      </c>
      <c r="V42" t="s">
        <v>62</v>
      </c>
      <c r="AE42" s="2"/>
      <c r="AK42">
        <f>2900+450</f>
        <v>3350</v>
      </c>
    </row>
    <row r="43" spans="1:37" x14ac:dyDescent="0.35">
      <c r="A43">
        <v>21</v>
      </c>
      <c r="B43">
        <v>5</v>
      </c>
      <c r="D43" t="s">
        <v>120</v>
      </c>
      <c r="E43">
        <v>15</v>
      </c>
      <c r="F43">
        <v>2</v>
      </c>
      <c r="H43" t="s">
        <v>347</v>
      </c>
      <c r="I43">
        <v>90</v>
      </c>
      <c r="J43">
        <v>13</v>
      </c>
      <c r="K43">
        <v>12</v>
      </c>
      <c r="L43">
        <v>16</v>
      </c>
      <c r="M43">
        <v>14</v>
      </c>
      <c r="N43">
        <v>2</v>
      </c>
      <c r="O43">
        <v>10</v>
      </c>
      <c r="P43">
        <v>3</v>
      </c>
      <c r="V43" t="s">
        <v>621</v>
      </c>
      <c r="AE43" s="2"/>
      <c r="AK43">
        <f>13000+700</f>
        <v>13700</v>
      </c>
    </row>
    <row r="44" spans="1:37" x14ac:dyDescent="0.35">
      <c r="A44">
        <v>20</v>
      </c>
      <c r="B44">
        <v>5</v>
      </c>
      <c r="D44" t="s">
        <v>121</v>
      </c>
      <c r="E44">
        <v>18</v>
      </c>
      <c r="F44" t="s">
        <v>87</v>
      </c>
      <c r="H44" t="s">
        <v>348</v>
      </c>
      <c r="I44">
        <v>42</v>
      </c>
      <c r="J44">
        <v>12</v>
      </c>
      <c r="K44">
        <v>17</v>
      </c>
      <c r="L44">
        <v>10</v>
      </c>
      <c r="M44">
        <v>16</v>
      </c>
      <c r="N44">
        <v>2</v>
      </c>
      <c r="O44">
        <v>7</v>
      </c>
      <c r="P44">
        <v>5</v>
      </c>
      <c r="V44" t="s">
        <v>623</v>
      </c>
      <c r="AE44" s="2"/>
      <c r="AK44">
        <v>450</v>
      </c>
    </row>
    <row r="45" spans="1:37" x14ac:dyDescent="0.35">
      <c r="A45">
        <v>19</v>
      </c>
      <c r="B45">
        <v>4</v>
      </c>
      <c r="D45" t="s">
        <v>193</v>
      </c>
      <c r="E45">
        <v>16</v>
      </c>
      <c r="F45" t="s">
        <v>87</v>
      </c>
      <c r="H45" t="s">
        <v>349</v>
      </c>
      <c r="I45">
        <v>42</v>
      </c>
      <c r="J45">
        <v>13</v>
      </c>
      <c r="K45">
        <v>11</v>
      </c>
      <c r="L45">
        <v>17</v>
      </c>
      <c r="M45">
        <v>16</v>
      </c>
      <c r="N45">
        <v>2</v>
      </c>
      <c r="O45">
        <v>12</v>
      </c>
      <c r="P45">
        <v>3</v>
      </c>
      <c r="V45" t="s">
        <v>689</v>
      </c>
      <c r="W45">
        <v>131</v>
      </c>
      <c r="X45">
        <v>17</v>
      </c>
      <c r="Y45">
        <v>14</v>
      </c>
      <c r="Z45">
        <v>16</v>
      </c>
      <c r="AA45">
        <v>18</v>
      </c>
      <c r="AB45">
        <v>8</v>
      </c>
      <c r="AC45">
        <v>16</v>
      </c>
      <c r="AD45">
        <v>7</v>
      </c>
      <c r="AE45" s="2"/>
    </row>
    <row r="46" spans="1:37" x14ac:dyDescent="0.35">
      <c r="A46">
        <v>18</v>
      </c>
      <c r="B46">
        <v>4</v>
      </c>
      <c r="D46" t="s">
        <v>194</v>
      </c>
      <c r="E46">
        <v>20</v>
      </c>
      <c r="F46" t="s">
        <v>87</v>
      </c>
      <c r="V46" t="s">
        <v>690</v>
      </c>
      <c r="W46">
        <v>81</v>
      </c>
      <c r="X46">
        <v>16</v>
      </c>
      <c r="Y46">
        <v>14</v>
      </c>
      <c r="Z46">
        <v>18</v>
      </c>
      <c r="AA46">
        <v>12</v>
      </c>
      <c r="AB46">
        <v>14</v>
      </c>
      <c r="AC46">
        <v>16</v>
      </c>
      <c r="AD46">
        <v>20</v>
      </c>
      <c r="AE46" s="2"/>
    </row>
    <row r="47" spans="1:37" x14ac:dyDescent="0.35">
      <c r="A47">
        <v>17</v>
      </c>
      <c r="B47">
        <v>3</v>
      </c>
      <c r="D47" t="s">
        <v>195</v>
      </c>
      <c r="E47">
        <v>16</v>
      </c>
      <c r="F47" t="s">
        <v>87</v>
      </c>
      <c r="V47" t="s">
        <v>691</v>
      </c>
      <c r="W47">
        <v>107</v>
      </c>
      <c r="X47">
        <v>16</v>
      </c>
      <c r="Y47">
        <v>11</v>
      </c>
      <c r="Z47">
        <v>18</v>
      </c>
      <c r="AA47">
        <v>14</v>
      </c>
      <c r="AB47">
        <v>10</v>
      </c>
      <c r="AC47">
        <v>18</v>
      </c>
      <c r="AD47">
        <v>13</v>
      </c>
      <c r="AE47" s="2"/>
    </row>
    <row r="48" spans="1:37" x14ac:dyDescent="0.35">
      <c r="A48">
        <v>16</v>
      </c>
      <c r="B48">
        <v>3</v>
      </c>
      <c r="D48" t="s">
        <v>196</v>
      </c>
      <c r="E48">
        <v>16</v>
      </c>
      <c r="F48" t="s">
        <v>87</v>
      </c>
      <c r="H48" t="s">
        <v>367</v>
      </c>
      <c r="V48" t="s">
        <v>693</v>
      </c>
      <c r="W48">
        <v>80</v>
      </c>
      <c r="X48">
        <v>12</v>
      </c>
      <c r="Y48">
        <v>9</v>
      </c>
      <c r="Z48">
        <v>14</v>
      </c>
      <c r="AA48">
        <v>15</v>
      </c>
      <c r="AB48">
        <v>14</v>
      </c>
      <c r="AC48">
        <v>14</v>
      </c>
      <c r="AD48">
        <v>20</v>
      </c>
      <c r="AE48" s="2"/>
    </row>
    <row r="49" spans="1:60" x14ac:dyDescent="0.35">
      <c r="A49">
        <v>15</v>
      </c>
      <c r="B49">
        <v>2</v>
      </c>
      <c r="D49" t="s">
        <v>197</v>
      </c>
      <c r="E49">
        <v>16</v>
      </c>
      <c r="F49" t="s">
        <v>87</v>
      </c>
      <c r="H49" t="s">
        <v>297</v>
      </c>
      <c r="I49" t="s">
        <v>341</v>
      </c>
      <c r="J49" t="s">
        <v>308</v>
      </c>
      <c r="K49" t="s">
        <v>0</v>
      </c>
      <c r="L49" t="s">
        <v>1</v>
      </c>
      <c r="M49" t="s">
        <v>2</v>
      </c>
      <c r="N49" t="s">
        <v>3</v>
      </c>
      <c r="O49" t="s">
        <v>4</v>
      </c>
      <c r="P49" t="s">
        <v>5</v>
      </c>
      <c r="Q49" t="s">
        <v>241</v>
      </c>
      <c r="V49" t="s">
        <v>692</v>
      </c>
      <c r="AE49" s="2"/>
    </row>
    <row r="50" spans="1:60" x14ac:dyDescent="0.35">
      <c r="A50">
        <v>14</v>
      </c>
      <c r="B50">
        <v>2</v>
      </c>
      <c r="D50" t="s">
        <v>258</v>
      </c>
      <c r="E50">
        <v>10</v>
      </c>
      <c r="F50" t="s">
        <v>86</v>
      </c>
      <c r="H50" t="s">
        <v>368</v>
      </c>
      <c r="I50">
        <v>126</v>
      </c>
      <c r="J50">
        <v>13</v>
      </c>
      <c r="K50">
        <v>24</v>
      </c>
      <c r="L50">
        <v>9</v>
      </c>
      <c r="M50">
        <v>21</v>
      </c>
      <c r="N50">
        <v>3</v>
      </c>
      <c r="O50">
        <v>11</v>
      </c>
      <c r="P50">
        <v>6</v>
      </c>
      <c r="Q50" t="s">
        <v>87</v>
      </c>
    </row>
    <row r="51" spans="1:60" x14ac:dyDescent="0.35">
      <c r="A51">
        <v>13</v>
      </c>
      <c r="B51">
        <v>1</v>
      </c>
      <c r="D51" t="s">
        <v>48</v>
      </c>
      <c r="E51">
        <v>13</v>
      </c>
      <c r="F51" t="s">
        <v>86</v>
      </c>
      <c r="H51" t="s">
        <v>369</v>
      </c>
      <c r="I51">
        <v>95</v>
      </c>
      <c r="J51">
        <v>15</v>
      </c>
      <c r="K51">
        <v>19</v>
      </c>
      <c r="L51">
        <v>11</v>
      </c>
      <c r="M51">
        <v>18</v>
      </c>
      <c r="N51">
        <v>6</v>
      </c>
      <c r="O51">
        <v>10</v>
      </c>
      <c r="P51">
        <v>5</v>
      </c>
      <c r="Q51" t="s">
        <v>86</v>
      </c>
    </row>
    <row r="52" spans="1:60" x14ac:dyDescent="0.35">
      <c r="A52">
        <v>12</v>
      </c>
      <c r="B52">
        <v>1</v>
      </c>
      <c r="D52" t="s">
        <v>309</v>
      </c>
      <c r="E52">
        <v>16</v>
      </c>
      <c r="F52" t="s">
        <v>87</v>
      </c>
      <c r="H52" t="s">
        <v>370</v>
      </c>
      <c r="I52">
        <v>102</v>
      </c>
      <c r="J52">
        <v>13</v>
      </c>
      <c r="K52">
        <v>10</v>
      </c>
      <c r="L52">
        <v>17</v>
      </c>
      <c r="M52">
        <v>16</v>
      </c>
      <c r="N52">
        <v>6</v>
      </c>
      <c r="O52">
        <v>10</v>
      </c>
      <c r="P52">
        <v>7</v>
      </c>
      <c r="Q52" t="s">
        <v>86</v>
      </c>
    </row>
    <row r="53" spans="1:60" x14ac:dyDescent="0.35">
      <c r="A53">
        <v>11</v>
      </c>
      <c r="B53">
        <v>0</v>
      </c>
      <c r="D53" t="s">
        <v>310</v>
      </c>
      <c r="E53">
        <v>12</v>
      </c>
      <c r="F53">
        <v>2</v>
      </c>
      <c r="H53" t="s">
        <v>371</v>
      </c>
      <c r="I53">
        <v>85</v>
      </c>
      <c r="J53">
        <v>14</v>
      </c>
      <c r="K53">
        <v>21</v>
      </c>
      <c r="L53">
        <v>9</v>
      </c>
      <c r="M53">
        <v>17</v>
      </c>
      <c r="N53">
        <v>2</v>
      </c>
      <c r="O53">
        <v>10</v>
      </c>
      <c r="P53">
        <v>7</v>
      </c>
      <c r="Q53" t="s">
        <v>86</v>
      </c>
    </row>
    <row r="54" spans="1:60" x14ac:dyDescent="0.35">
      <c r="A54">
        <v>10</v>
      </c>
      <c r="B54">
        <v>0</v>
      </c>
      <c r="H54" t="s">
        <v>372</v>
      </c>
      <c r="I54">
        <v>121</v>
      </c>
      <c r="J54">
        <v>15</v>
      </c>
      <c r="K54">
        <v>21</v>
      </c>
      <c r="L54">
        <v>9</v>
      </c>
      <c r="M54">
        <v>17</v>
      </c>
      <c r="N54">
        <v>2</v>
      </c>
      <c r="O54">
        <v>10</v>
      </c>
      <c r="P54">
        <v>7</v>
      </c>
      <c r="Q54" t="s">
        <v>87</v>
      </c>
    </row>
    <row r="55" spans="1:60" x14ac:dyDescent="0.35">
      <c r="A55">
        <v>9</v>
      </c>
      <c r="B55">
        <v>-1</v>
      </c>
      <c r="D55" t="s">
        <v>481</v>
      </c>
      <c r="H55" t="s">
        <v>373</v>
      </c>
      <c r="I55">
        <v>126</v>
      </c>
      <c r="J55">
        <v>17</v>
      </c>
      <c r="K55">
        <v>20</v>
      </c>
      <c r="L55">
        <v>8</v>
      </c>
      <c r="M55">
        <v>20</v>
      </c>
      <c r="N55">
        <v>5</v>
      </c>
      <c r="O55">
        <v>10</v>
      </c>
      <c r="P55">
        <v>5</v>
      </c>
      <c r="Q55" t="s">
        <v>86</v>
      </c>
    </row>
    <row r="56" spans="1:60" x14ac:dyDescent="0.35">
      <c r="A56">
        <v>8</v>
      </c>
      <c r="B56">
        <v>-1</v>
      </c>
      <c r="D56" t="s">
        <v>50</v>
      </c>
      <c r="E56" t="s">
        <v>482</v>
      </c>
      <c r="H56" t="s">
        <v>347</v>
      </c>
      <c r="I56">
        <v>90</v>
      </c>
      <c r="J56">
        <v>13</v>
      </c>
      <c r="K56">
        <v>12</v>
      </c>
      <c r="L56">
        <v>16</v>
      </c>
      <c r="M56">
        <v>14</v>
      </c>
      <c r="N56">
        <v>2</v>
      </c>
      <c r="O56">
        <v>10</v>
      </c>
      <c r="P56">
        <v>3</v>
      </c>
      <c r="Q56" t="s">
        <v>87</v>
      </c>
      <c r="V56" t="s">
        <v>512</v>
      </c>
      <c r="AP56" t="s">
        <v>636</v>
      </c>
    </row>
    <row r="57" spans="1:60" x14ac:dyDescent="0.35">
      <c r="A57">
        <v>7</v>
      </c>
      <c r="B57">
        <v>-2</v>
      </c>
      <c r="D57" t="s">
        <v>10</v>
      </c>
      <c r="E57">
        <v>3</v>
      </c>
      <c r="V57" t="s">
        <v>297</v>
      </c>
      <c r="W57" t="s">
        <v>546</v>
      </c>
      <c r="X57" t="s">
        <v>547</v>
      </c>
      <c r="Y57" t="s">
        <v>513</v>
      </c>
      <c r="Z57" t="s">
        <v>516</v>
      </c>
      <c r="AA57" t="s">
        <v>81</v>
      </c>
      <c r="AB57" t="s">
        <v>514</v>
      </c>
      <c r="AC57" t="s">
        <v>515</v>
      </c>
      <c r="AD57" t="s">
        <v>178</v>
      </c>
      <c r="AE57" t="s">
        <v>351</v>
      </c>
      <c r="AF57" t="s">
        <v>312</v>
      </c>
      <c r="AG57" t="s">
        <v>314</v>
      </c>
      <c r="AH57" t="s">
        <v>522</v>
      </c>
      <c r="AI57" t="s">
        <v>523</v>
      </c>
      <c r="AJ57" t="s">
        <v>524</v>
      </c>
      <c r="AK57" t="s">
        <v>525</v>
      </c>
      <c r="AL57" t="s">
        <v>320</v>
      </c>
      <c r="AM57" t="s">
        <v>319</v>
      </c>
      <c r="AN57" t="s">
        <v>517</v>
      </c>
      <c r="AP57" s="32" t="s">
        <v>297</v>
      </c>
      <c r="AQ57" s="33" t="s">
        <v>546</v>
      </c>
      <c r="AR57" s="33" t="s">
        <v>547</v>
      </c>
      <c r="AS57" s="33" t="s">
        <v>513</v>
      </c>
      <c r="AT57" s="33" t="s">
        <v>516</v>
      </c>
      <c r="AU57" s="33" t="s">
        <v>81</v>
      </c>
      <c r="AV57" s="33" t="s">
        <v>514</v>
      </c>
      <c r="AW57" s="33" t="s">
        <v>515</v>
      </c>
      <c r="AX57" s="33" t="s">
        <v>178</v>
      </c>
      <c r="AY57" s="33" t="s">
        <v>351</v>
      </c>
      <c r="AZ57" s="33" t="s">
        <v>312</v>
      </c>
      <c r="BA57" s="33" t="s">
        <v>314</v>
      </c>
      <c r="BB57" s="33" t="s">
        <v>522</v>
      </c>
      <c r="BC57" s="33" t="s">
        <v>523</v>
      </c>
      <c r="BD57" s="33" t="s">
        <v>524</v>
      </c>
      <c r="BE57" s="33" t="s">
        <v>525</v>
      </c>
      <c r="BF57" s="33" t="s">
        <v>320</v>
      </c>
      <c r="BG57" s="33" t="s">
        <v>319</v>
      </c>
      <c r="BH57" s="41" t="s">
        <v>517</v>
      </c>
    </row>
    <row r="58" spans="1:60" x14ac:dyDescent="0.35">
      <c r="A58">
        <v>6</v>
      </c>
      <c r="B58">
        <v>-2</v>
      </c>
      <c r="D58" t="s">
        <v>66</v>
      </c>
      <c r="E58">
        <v>2</v>
      </c>
      <c r="H58" t="s">
        <v>374</v>
      </c>
      <c r="V58" t="s">
        <v>242</v>
      </c>
      <c r="W58">
        <v>1</v>
      </c>
      <c r="X58" t="str">
        <f>CONCATENATE(Table70[[#This Row],[Creature]],Table70[[#This Row],[Number]])</f>
        <v>Arachnomancer1</v>
      </c>
      <c r="Y58" t="s">
        <v>520</v>
      </c>
      <c r="Z58" t="s">
        <v>519</v>
      </c>
      <c r="AA58" t="s">
        <v>1</v>
      </c>
      <c r="AB58">
        <v>11</v>
      </c>
      <c r="AE58">
        <v>8</v>
      </c>
      <c r="AF58">
        <v>6</v>
      </c>
      <c r="AH58">
        <v>4</v>
      </c>
      <c r="AI58">
        <v>12</v>
      </c>
      <c r="AL58">
        <f>((Table70[[#This Row],[Damage Dice]]/2)*Table70[[#This Row],['# Dice]])+(Table70[[#This Row],[Bonus Damage Dice]]/2)*Table70[[#This Row],[Bonus '# Dice]]+Table70[[#This Row],[Bonus Damage]]</f>
        <v>48</v>
      </c>
      <c r="AM58">
        <v>5</v>
      </c>
      <c r="AP58" t="s">
        <v>398</v>
      </c>
      <c r="AQ58">
        <v>1</v>
      </c>
      <c r="AR58" t="str">
        <f>CONCATENATE(Table100[[#This Row],[Creature]],Table100[[#This Row],[Number]])</f>
        <v>Mind Flayer1</v>
      </c>
      <c r="AS58" t="s">
        <v>272</v>
      </c>
      <c r="AT58" t="s">
        <v>519</v>
      </c>
      <c r="AV58">
        <v>7</v>
      </c>
      <c r="AY58">
        <v>2</v>
      </c>
      <c r="AZ58">
        <v>10</v>
      </c>
      <c r="BA58">
        <v>4</v>
      </c>
      <c r="BD58" t="s">
        <v>410</v>
      </c>
      <c r="BE58">
        <v>15</v>
      </c>
      <c r="BF58">
        <f>((Table100[[#This Row],[Damage Dice]]/2)*Table100[[#This Row],['# Dice]])+((Table100[[#This Row],[Bonus Damage Dice]]/2)*Table100[[#This Row],[Bonus '# Dice]])+Table100[[#This Row],[Bonus Damage]]</f>
        <v>14</v>
      </c>
      <c r="BG58">
        <v>5</v>
      </c>
      <c r="BH58" t="s">
        <v>639</v>
      </c>
    </row>
    <row r="59" spans="1:60" x14ac:dyDescent="0.35">
      <c r="A59">
        <v>5</v>
      </c>
      <c r="B59">
        <v>-3</v>
      </c>
      <c r="D59" t="s">
        <v>15</v>
      </c>
      <c r="E59">
        <v>2</v>
      </c>
      <c r="H59" t="s">
        <v>297</v>
      </c>
      <c r="I59" t="s">
        <v>376</v>
      </c>
      <c r="J59" t="s">
        <v>393</v>
      </c>
      <c r="K59" t="s">
        <v>351</v>
      </c>
      <c r="L59" t="s">
        <v>312</v>
      </c>
      <c r="M59" t="s">
        <v>375</v>
      </c>
      <c r="N59" t="s">
        <v>514</v>
      </c>
      <c r="O59" t="s">
        <v>385</v>
      </c>
      <c r="P59" t="s">
        <v>386</v>
      </c>
      <c r="Q59" t="s">
        <v>379</v>
      </c>
      <c r="R59" t="s">
        <v>356</v>
      </c>
      <c r="S59" t="s">
        <v>355</v>
      </c>
      <c r="T59" t="s">
        <v>380</v>
      </c>
      <c r="V59" t="s">
        <v>242</v>
      </c>
      <c r="W59">
        <v>2</v>
      </c>
      <c r="X59" t="str">
        <f>CONCATENATE(Table70[[#This Row],[Creature]],Table70[[#This Row],[Number]])</f>
        <v>Arachnomancer2</v>
      </c>
      <c r="Y59" t="s">
        <v>248</v>
      </c>
      <c r="Z59" t="s">
        <v>519</v>
      </c>
      <c r="AA59" t="s">
        <v>1</v>
      </c>
      <c r="AB59">
        <v>11</v>
      </c>
      <c r="AE59">
        <v>8</v>
      </c>
      <c r="AF59">
        <v>6</v>
      </c>
      <c r="AH59">
        <v>4</v>
      </c>
      <c r="AI59">
        <v>12</v>
      </c>
      <c r="AL59">
        <f>((Table70[[#This Row],[Damage Dice]]/2)*Table70[[#This Row],['# Dice]])+(Table70[[#This Row],[Bonus Damage Dice]]/2)*Table70[[#This Row],[Bonus '# Dice]]+Table70[[#This Row],[Bonus Damage]]</f>
        <v>48</v>
      </c>
      <c r="AM59">
        <v>5</v>
      </c>
      <c r="AP59" t="s">
        <v>398</v>
      </c>
      <c r="AQ59">
        <v>2</v>
      </c>
      <c r="AR59" s="2" t="str">
        <f>CONCATENATE(Table100[[#This Row],[Creature]],Table100[[#This Row],[Number]])</f>
        <v>Mind Flayer2</v>
      </c>
      <c r="AS59" t="s">
        <v>637</v>
      </c>
      <c r="AT59" t="s">
        <v>519</v>
      </c>
      <c r="AV59">
        <v>7</v>
      </c>
      <c r="AY59">
        <v>10</v>
      </c>
      <c r="AZ59">
        <v>10</v>
      </c>
      <c r="BF59">
        <f>((Table100[[#This Row],[Damage Dice]]/2)*Table100[[#This Row],['# Dice]])+((Table100[[#This Row],[Bonus Damage Dice]]/2)*Table100[[#This Row],[Bonus '# Dice]])+Table100[[#This Row],[Bonus Damage]]</f>
        <v>50</v>
      </c>
      <c r="BG59">
        <v>5</v>
      </c>
    </row>
    <row r="60" spans="1:60" x14ac:dyDescent="0.35">
      <c r="A60">
        <v>4</v>
      </c>
      <c r="B60">
        <v>-3</v>
      </c>
      <c r="D60" t="s">
        <v>18</v>
      </c>
      <c r="E60">
        <v>2</v>
      </c>
      <c r="H60" t="s">
        <v>368</v>
      </c>
      <c r="I60" t="s">
        <v>377</v>
      </c>
      <c r="J60" t="str">
        <f>CONCATENATE(Table60[[#This Row],[Creature]],Table60[[#This Row],[Attack Name]])</f>
        <v>MammothGore</v>
      </c>
      <c r="K60">
        <v>4</v>
      </c>
      <c r="L60">
        <v>8</v>
      </c>
      <c r="M60" t="s">
        <v>0</v>
      </c>
      <c r="N60">
        <f>VLOOKUP(VLOOKUP(Table60[[#This Row],[Creature]],Table57[],MATCH(Table60[[#This Row],[Strength or Dexterity]],Table57[#Headers],0),FALSE),Modifier[],2,FALSE)+$B$31</f>
        <v>15</v>
      </c>
      <c r="Q60">
        <v>10</v>
      </c>
      <c r="V60" t="s">
        <v>242</v>
      </c>
      <c r="W60">
        <v>3</v>
      </c>
      <c r="X60" t="str">
        <f>CONCATENATE(Table70[[#This Row],[Creature]],Table70[[#This Row],[Number]])</f>
        <v>Arachnomancer3</v>
      </c>
      <c r="Y60" t="s">
        <v>521</v>
      </c>
      <c r="Z60" t="s">
        <v>519</v>
      </c>
      <c r="AA60" t="s">
        <v>1</v>
      </c>
      <c r="AB60">
        <v>11</v>
      </c>
      <c r="AE60">
        <v>2</v>
      </c>
      <c r="AF60">
        <v>8</v>
      </c>
      <c r="AG60">
        <v>3</v>
      </c>
      <c r="AH60">
        <v>8</v>
      </c>
      <c r="AI60">
        <v>12</v>
      </c>
      <c r="AJ60" t="s">
        <v>2</v>
      </c>
      <c r="AK60">
        <v>18</v>
      </c>
      <c r="AL60">
        <f>((Table70[[#This Row],[Damage Dice]]/2)*Table70[[#This Row],['# Dice]])+(Table70[[#This Row],[Bonus Damage Dice]]/2)*Table70[[#This Row],[Bonus '# Dice]]+Table70[[#This Row],[Bonus Damage]]</f>
        <v>59</v>
      </c>
      <c r="AM60">
        <v>5</v>
      </c>
      <c r="AN60" t="s">
        <v>526</v>
      </c>
      <c r="AP60" t="s">
        <v>398</v>
      </c>
      <c r="AQ60">
        <v>3</v>
      </c>
      <c r="AR60" s="2" t="str">
        <f>CONCATENATE(Table100[[#This Row],[Creature]],Table100[[#This Row],[Number]])</f>
        <v>Mind Flayer3</v>
      </c>
      <c r="AS60" t="s">
        <v>638</v>
      </c>
      <c r="AT60" t="s">
        <v>89</v>
      </c>
      <c r="AW60" t="s">
        <v>410</v>
      </c>
      <c r="AX60">
        <v>15</v>
      </c>
      <c r="AY60">
        <v>4</v>
      </c>
      <c r="AZ60">
        <v>8</v>
      </c>
      <c r="BA60">
        <v>4</v>
      </c>
      <c r="BF60">
        <f>((Table100[[#This Row],[Damage Dice]]/2)*Table100[[#This Row],['# Dice]])+((Table100[[#This Row],[Bonus Damage Dice]]/2)*Table100[[#This Row],[Bonus '# Dice]])+Table100[[#This Row],[Bonus Damage]]</f>
        <v>20</v>
      </c>
      <c r="BG60">
        <v>60</v>
      </c>
      <c r="BH60" t="s">
        <v>537</v>
      </c>
    </row>
    <row r="61" spans="1:60" x14ac:dyDescent="0.35">
      <c r="A61">
        <v>3</v>
      </c>
      <c r="B61">
        <v>-4</v>
      </c>
      <c r="D61" t="s">
        <v>23</v>
      </c>
      <c r="E61">
        <v>1</v>
      </c>
      <c r="H61" t="s">
        <v>368</v>
      </c>
      <c r="I61" t="s">
        <v>378</v>
      </c>
      <c r="J61" t="str">
        <f>CONCATENATE(Table60[[#This Row],[Creature]],Table60[[#This Row],[Attack Name]])</f>
        <v>MammothStomp</v>
      </c>
      <c r="K61">
        <v>4</v>
      </c>
      <c r="L61">
        <v>10</v>
      </c>
      <c r="M61" t="s">
        <v>0</v>
      </c>
      <c r="N61">
        <f>VLOOKUP(VLOOKUP(Table60[[#This Row],[Creature]],Table57[],MATCH(Table60[[#This Row],[Strength or Dexterity]],Table57[#Headers],0),FALSE),Modifier[],2,FALSE)+$B$31</f>
        <v>15</v>
      </c>
      <c r="Q61">
        <v>5</v>
      </c>
      <c r="T61" t="s">
        <v>381</v>
      </c>
      <c r="V61" t="s">
        <v>242</v>
      </c>
      <c r="W61">
        <v>4</v>
      </c>
      <c r="X61" t="str">
        <f>CONCATENATE(Table70[[#This Row],[Creature]],Table70[[#This Row],[Number]])</f>
        <v>Arachnomancer4</v>
      </c>
      <c r="Y61" t="s">
        <v>230</v>
      </c>
      <c r="Z61" t="s">
        <v>519</v>
      </c>
      <c r="AA61" t="s">
        <v>1</v>
      </c>
      <c r="AB61">
        <v>11</v>
      </c>
      <c r="AE61">
        <v>2</v>
      </c>
      <c r="AF61">
        <v>8</v>
      </c>
      <c r="AG61">
        <v>3</v>
      </c>
      <c r="AH61">
        <v>4</v>
      </c>
      <c r="AI61">
        <v>12</v>
      </c>
      <c r="AJ61" t="s">
        <v>2</v>
      </c>
      <c r="AK61">
        <v>18</v>
      </c>
      <c r="AL61">
        <f>((Table70[[#This Row],[Damage Dice]]/2)*Table70[[#This Row],['# Dice]])+(Table70[[#This Row],[Bonus Damage Dice]]/2)*Table70[[#This Row],[Bonus '# Dice]]+Table70[[#This Row],[Bonus Damage]]</f>
        <v>35</v>
      </c>
      <c r="AM61">
        <v>5</v>
      </c>
      <c r="AN61" t="s">
        <v>526</v>
      </c>
      <c r="AP61" t="s">
        <v>398</v>
      </c>
      <c r="AQ61">
        <v>4</v>
      </c>
      <c r="AR61" s="2" t="str">
        <f>CONCATENATE(Table100[[#This Row],[Creature]],Table100[[#This Row],[Number]])</f>
        <v>Mind Flayer4</v>
      </c>
      <c r="AS61" t="s">
        <v>640</v>
      </c>
      <c r="AT61" t="s">
        <v>89</v>
      </c>
      <c r="AW61" t="s">
        <v>411</v>
      </c>
      <c r="AX61">
        <v>15</v>
      </c>
      <c r="BF61" s="2">
        <f>((Table100[[#This Row],[Damage Dice]]/2)*Table100[[#This Row],['# Dice]])+((Table100[[#This Row],[Bonus Damage Dice]]/2)*Table100[[#This Row],[Bonus '# Dice]])+Table100[[#This Row],[Bonus Damage]]</f>
        <v>0</v>
      </c>
      <c r="BG61">
        <v>60</v>
      </c>
      <c r="BH61" t="s">
        <v>358</v>
      </c>
    </row>
    <row r="62" spans="1:60" x14ac:dyDescent="0.35">
      <c r="A62">
        <v>2</v>
      </c>
      <c r="B62">
        <v>-4</v>
      </c>
      <c r="D62" t="s">
        <v>28</v>
      </c>
      <c r="E62">
        <v>1</v>
      </c>
      <c r="H62" t="s">
        <v>368</v>
      </c>
      <c r="I62" t="s">
        <v>382</v>
      </c>
      <c r="J62" t="str">
        <f>CONCATENATE(Table60[[#This Row],[Creature]],Table60[[#This Row],[Attack Name]])</f>
        <v>MammothTrampling Gore</v>
      </c>
      <c r="K62">
        <v>4</v>
      </c>
      <c r="L62">
        <v>8</v>
      </c>
      <c r="M62" t="s">
        <v>0</v>
      </c>
      <c r="N62">
        <f>VLOOKUP(VLOOKUP(Table60[[#This Row],[Creature]],Table57[],MATCH(Table60[[#This Row],[Strength or Dexterity]],Table57[#Headers],0),FALSE),Modifier[],2,FALSE)+$B$31</f>
        <v>15</v>
      </c>
      <c r="Q62">
        <v>10</v>
      </c>
      <c r="R62" t="s">
        <v>381</v>
      </c>
      <c r="S62" t="s">
        <v>383</v>
      </c>
      <c r="V62" t="s">
        <v>242</v>
      </c>
      <c r="W62">
        <v>5</v>
      </c>
      <c r="X62" t="str">
        <f>CONCATENATE(Table70[[#This Row],[Creature]],Table70[[#This Row],[Number]])</f>
        <v>Arachnomancer5</v>
      </c>
      <c r="Y62" t="s">
        <v>40</v>
      </c>
      <c r="Z62" t="s">
        <v>519</v>
      </c>
      <c r="AA62" t="s">
        <v>1</v>
      </c>
      <c r="AB62">
        <v>11</v>
      </c>
      <c r="AL62">
        <f>((Table70[[#This Row],[Damage Dice]]/2)*Table70[[#This Row],['# Dice]])+(Table70[[#This Row],[Bonus Damage Dice]]/2)*Table70[[#This Row],[Bonus '# Dice]]+Table70[[#This Row],[Bonus Damage]]</f>
        <v>0</v>
      </c>
      <c r="AM62">
        <v>30</v>
      </c>
      <c r="AN62" t="s">
        <v>365</v>
      </c>
      <c r="AP62" t="s">
        <v>399</v>
      </c>
      <c r="AQ62">
        <v>1</v>
      </c>
      <c r="AR62" t="str">
        <f>CONCATENATE(Table100[[#This Row],[Creature]],Table100[[#This Row],[Number]])</f>
        <v>Elder Brain1</v>
      </c>
      <c r="AS62" t="s">
        <v>641</v>
      </c>
      <c r="AT62" t="s">
        <v>519</v>
      </c>
      <c r="AV62">
        <v>7</v>
      </c>
      <c r="AY62">
        <v>4</v>
      </c>
      <c r="AZ62">
        <v>8</v>
      </c>
      <c r="BA62">
        <v>2</v>
      </c>
      <c r="BF62">
        <f>((Table100[[#This Row],[Damage Dice]]/2)*Table100[[#This Row],['# Dice]])+((Table100[[#This Row],[Bonus Damage Dice]]/2)*Table100[[#This Row],[Bonus '# Dice]])+Table100[[#This Row],[Bonus Damage]]</f>
        <v>18</v>
      </c>
      <c r="BG62">
        <v>30</v>
      </c>
      <c r="BH62" t="s">
        <v>545</v>
      </c>
    </row>
    <row r="63" spans="1:60" x14ac:dyDescent="0.35">
      <c r="A63">
        <v>1</v>
      </c>
      <c r="B63">
        <v>-5</v>
      </c>
      <c r="D63" t="s">
        <v>35</v>
      </c>
      <c r="E63">
        <v>1</v>
      </c>
      <c r="H63" t="s">
        <v>369</v>
      </c>
      <c r="I63" t="s">
        <v>384</v>
      </c>
      <c r="J63" t="str">
        <f>CONCATENATE(Table60[[#This Row],[Creature]],Table60[[#This Row],[Attack Name]])</f>
        <v>Animated BreathSlam</v>
      </c>
      <c r="K63">
        <v>2</v>
      </c>
      <c r="L63">
        <v>8</v>
      </c>
      <c r="M63" t="s">
        <v>0</v>
      </c>
      <c r="N63">
        <f>VLOOKUP(VLOOKUP(Table60[[#This Row],[Creature]],Table57[],MATCH(Table60[[#This Row],[Strength or Dexterity]],Table57[#Headers],0),FALSE),Modifier[],2,FALSE)+$B$31</f>
        <v>12</v>
      </c>
      <c r="O63">
        <v>2</v>
      </c>
      <c r="P63">
        <v>10</v>
      </c>
      <c r="Q63">
        <v>5</v>
      </c>
      <c r="V63" t="s">
        <v>242</v>
      </c>
      <c r="W63">
        <v>6</v>
      </c>
      <c r="X63" s="2" t="str">
        <f>CONCATENATE(Table70[[#This Row],[Creature]],Table70[[#This Row],[Number]])</f>
        <v>Arachnomancer6</v>
      </c>
      <c r="Y63" t="s">
        <v>589</v>
      </c>
      <c r="Z63" t="s">
        <v>89</v>
      </c>
      <c r="AC63" t="s">
        <v>413</v>
      </c>
      <c r="AD63">
        <v>18</v>
      </c>
      <c r="AE63">
        <v>4</v>
      </c>
      <c r="AF63">
        <v>12</v>
      </c>
      <c r="AL63">
        <f>((Table70[[#This Row],[Damage Dice]]/2)*Table70[[#This Row],['# Dice]])+(Table70[[#This Row],[Bonus Damage Dice]]/2)*Table70[[#This Row],[Bonus '# Dice]]+Table70[[#This Row],[Bonus Damage]]</f>
        <v>24</v>
      </c>
      <c r="AN63" t="s">
        <v>590</v>
      </c>
      <c r="AP63" t="s">
        <v>399</v>
      </c>
      <c r="AQ63">
        <v>2</v>
      </c>
      <c r="AR63" s="2" t="str">
        <f>CONCATENATE(Table100[[#This Row],[Creature]],Table100[[#This Row],[Number]])</f>
        <v>Elder Brain2</v>
      </c>
      <c r="AS63" t="s">
        <v>638</v>
      </c>
      <c r="AT63" t="s">
        <v>89</v>
      </c>
      <c r="AW63" t="s">
        <v>410</v>
      </c>
      <c r="AX63">
        <v>18</v>
      </c>
      <c r="AY63">
        <v>5</v>
      </c>
      <c r="AZ63">
        <v>10</v>
      </c>
      <c r="BA63">
        <v>5</v>
      </c>
      <c r="BF63" s="2">
        <f>((Table100[[#This Row],[Damage Dice]]/2)*Table100[[#This Row],['# Dice]])+((Table100[[#This Row],[Bonus Damage Dice]]/2)*Table100[[#This Row],[Bonus '# Dice]])+Table100[[#This Row],[Bonus Damage]]</f>
        <v>30</v>
      </c>
      <c r="BG63">
        <v>60</v>
      </c>
      <c r="BH63" t="s">
        <v>537</v>
      </c>
    </row>
    <row r="64" spans="1:60" x14ac:dyDescent="0.35">
      <c r="D64" t="s">
        <v>41</v>
      </c>
      <c r="E64">
        <v>0.2</v>
      </c>
      <c r="H64" t="s">
        <v>370</v>
      </c>
      <c r="I64" t="s">
        <v>11</v>
      </c>
      <c r="J64" t="str">
        <f>CONCATENATE(Table60[[#This Row],[Creature]],Table60[[#This Row],[Attack Name]])</f>
        <v>Fire ElementalTouch</v>
      </c>
      <c r="K64">
        <v>2</v>
      </c>
      <c r="L64">
        <v>6</v>
      </c>
      <c r="M64" t="s">
        <v>1</v>
      </c>
      <c r="N64">
        <f>VLOOKUP(VLOOKUP(Table60[[#This Row],[Creature]],Table57[],MATCH(Table60[[#This Row],[Strength or Dexterity]],Table57[#Headers],0),FALSE),Modifier[],2,FALSE)+$B$31</f>
        <v>11</v>
      </c>
      <c r="Q64">
        <v>5</v>
      </c>
      <c r="R64" t="s">
        <v>387</v>
      </c>
      <c r="V64" t="s">
        <v>242</v>
      </c>
      <c r="W64">
        <v>7</v>
      </c>
      <c r="X64" s="2" t="str">
        <f>CONCATENATE(Table70[[#This Row],[Creature]],Table70[[#This Row],[Number]])</f>
        <v>Arachnomancer7</v>
      </c>
      <c r="Y64" t="s">
        <v>136</v>
      </c>
      <c r="Z64" t="s">
        <v>89</v>
      </c>
      <c r="AC64" t="s">
        <v>415</v>
      </c>
      <c r="AD64">
        <v>21</v>
      </c>
      <c r="AL64">
        <f>((Table70[[#This Row],[Damage Dice]]/2)*Table70[[#This Row],['# Dice]])+(Table70[[#This Row],[Bonus Damage Dice]]/2)*Table70[[#This Row],[Bonus '# Dice]]+Table70[[#This Row],[Bonus Damage]]</f>
        <v>0</v>
      </c>
      <c r="AM64">
        <v>30</v>
      </c>
      <c r="AP64" t="s">
        <v>399</v>
      </c>
      <c r="AQ64">
        <v>3</v>
      </c>
      <c r="AR64" s="2" t="str">
        <f>CONCATENATE(Table100[[#This Row],[Creature]],Table100[[#This Row],[Number]])</f>
        <v>Elder Brain3</v>
      </c>
      <c r="AS64" t="s">
        <v>642</v>
      </c>
      <c r="AT64" t="s">
        <v>89</v>
      </c>
      <c r="AW64" t="s">
        <v>412</v>
      </c>
      <c r="AX64">
        <v>18</v>
      </c>
      <c r="BF64" s="2">
        <f>((Table100[[#This Row],[Damage Dice]]/2)*Table100[[#This Row],['# Dice]])+((Table100[[#This Row],[Bonus Damage Dice]]/2)*Table100[[#This Row],[Bonus '# Dice]])+Table100[[#This Row],[Bonus Damage]]</f>
        <v>0</v>
      </c>
      <c r="BG64">
        <v>120</v>
      </c>
    </row>
    <row r="65" spans="1:60" x14ac:dyDescent="0.35">
      <c r="D65" t="s">
        <v>45</v>
      </c>
      <c r="E65">
        <v>0.1</v>
      </c>
      <c r="H65" t="s">
        <v>371</v>
      </c>
      <c r="I65" t="s">
        <v>230</v>
      </c>
      <c r="J65" t="str">
        <f>CONCATENATE(Table60[[#This Row],[Creature]],Table60[[#This Row],[Attack Name]])</f>
        <v>Elder Giant LizardBite</v>
      </c>
      <c r="K65">
        <v>3</v>
      </c>
      <c r="L65">
        <v>10</v>
      </c>
      <c r="M65" t="s">
        <v>0</v>
      </c>
      <c r="N65">
        <f>VLOOKUP(VLOOKUP(Table60[[#This Row],[Creature]],Table57[],MATCH(Table60[[#This Row],[Strength or Dexterity]],Table57[#Headers],0),FALSE),Modifier[],2,FALSE)+$B$31</f>
        <v>13</v>
      </c>
      <c r="Q65">
        <v>5</v>
      </c>
      <c r="R65" t="s">
        <v>389</v>
      </c>
      <c r="V65" t="s">
        <v>54</v>
      </c>
      <c r="W65">
        <v>1</v>
      </c>
      <c r="X65" t="str">
        <f>CONCATENATE(Table70[[#This Row],[Creature]],Table70[[#This Row],[Number]])</f>
        <v>Archdruid1</v>
      </c>
      <c r="Y65" t="s">
        <v>327</v>
      </c>
      <c r="Z65" t="s">
        <v>519</v>
      </c>
      <c r="AA65" t="s">
        <v>1</v>
      </c>
      <c r="AB65">
        <v>10</v>
      </c>
      <c r="AE65">
        <v>2</v>
      </c>
      <c r="AF65">
        <v>4</v>
      </c>
      <c r="AG65">
        <v>2</v>
      </c>
      <c r="AL65">
        <f>((Table70[[#This Row],[Damage Dice]]/2)*Table70[[#This Row],['# Dice]])+(Table70[[#This Row],[Bonus Damage Dice]]/2)*Table70[[#This Row],[Bonus '# Dice]]+Table70[[#This Row],[Bonus Damage]]</f>
        <v>6</v>
      </c>
      <c r="AP65" t="s">
        <v>399</v>
      </c>
      <c r="AQ65">
        <v>4</v>
      </c>
      <c r="AR65" s="2" t="str">
        <f>CONCATENATE(Table100[[#This Row],[Creature]],Table100[[#This Row],[Number]])</f>
        <v>Elder Brain4</v>
      </c>
      <c r="AS65" t="s">
        <v>640</v>
      </c>
      <c r="AT65" t="s">
        <v>89</v>
      </c>
      <c r="AW65" t="s">
        <v>411</v>
      </c>
      <c r="AX65">
        <v>18</v>
      </c>
      <c r="BF65" s="2">
        <f>((Table100[[#This Row],[Damage Dice]]/2)*Table100[[#This Row],['# Dice]])+((Table100[[#This Row],[Bonus Damage Dice]]/2)*Table100[[#This Row],[Bonus '# Dice]])+Table100[[#This Row],[Bonus Damage]]</f>
        <v>0</v>
      </c>
      <c r="BG65">
        <v>60</v>
      </c>
      <c r="BH65" t="s">
        <v>358</v>
      </c>
    </row>
    <row r="66" spans="1:60" x14ac:dyDescent="0.35">
      <c r="A66" t="s">
        <v>350</v>
      </c>
      <c r="H66" t="s">
        <v>371</v>
      </c>
      <c r="I66" t="s">
        <v>388</v>
      </c>
      <c r="J66" t="str">
        <f>CONCATENATE(Table60[[#This Row],[Creature]],Table60[[#This Row],[Attack Name]])</f>
        <v>Elder Giant LizardTail</v>
      </c>
      <c r="K66">
        <v>2</v>
      </c>
      <c r="L66">
        <v>8</v>
      </c>
      <c r="M66" t="s">
        <v>0</v>
      </c>
      <c r="N66">
        <f>VLOOKUP(VLOOKUP(Table60[[#This Row],[Creature]],Table57[],MATCH(Table60[[#This Row],[Strength or Dexterity]],Table57[#Headers],0),FALSE),Modifier[],2,FALSE)+$B$31</f>
        <v>13</v>
      </c>
      <c r="Q66">
        <v>10</v>
      </c>
      <c r="R66" t="s">
        <v>381</v>
      </c>
      <c r="S66" t="s">
        <v>390</v>
      </c>
      <c r="T66" t="s">
        <v>391</v>
      </c>
      <c r="V66" t="s">
        <v>54</v>
      </c>
      <c r="W66">
        <v>2</v>
      </c>
      <c r="X66" t="str">
        <f>CONCATENATE(Table70[[#This Row],[Creature]],Table70[[#This Row],[Number]])</f>
        <v>Archdruid2</v>
      </c>
      <c r="Y66" t="s">
        <v>527</v>
      </c>
      <c r="Z66" t="s">
        <v>519</v>
      </c>
      <c r="AA66" t="s">
        <v>0</v>
      </c>
      <c r="AB66">
        <v>15</v>
      </c>
      <c r="AE66">
        <v>4</v>
      </c>
      <c r="AF66">
        <v>8</v>
      </c>
      <c r="AG66">
        <v>7</v>
      </c>
      <c r="AL66">
        <f>((Table70[[#This Row],[Damage Dice]]/2)*Table70[[#This Row],['# Dice]])+(Table70[[#This Row],[Bonus Damage Dice]]/2)*Table70[[#This Row],[Bonus '# Dice]]+Table70[[#This Row],[Bonus Damage]]</f>
        <v>23</v>
      </c>
      <c r="AM66">
        <v>10</v>
      </c>
      <c r="AP66" t="s">
        <v>400</v>
      </c>
      <c r="AQ66">
        <v>1</v>
      </c>
      <c r="AR66" s="2" t="str">
        <f>CONCATENATE(Table100[[#This Row],[Creature]],Table100[[#This Row],[Number]])</f>
        <v>Ulitharid1</v>
      </c>
      <c r="AS66" t="s">
        <v>272</v>
      </c>
      <c r="AT66" t="s">
        <v>519</v>
      </c>
      <c r="AV66">
        <v>9</v>
      </c>
      <c r="AY66">
        <v>4</v>
      </c>
      <c r="AZ66">
        <v>10</v>
      </c>
      <c r="BA66">
        <v>5</v>
      </c>
      <c r="BD66" t="s">
        <v>410</v>
      </c>
      <c r="BE66">
        <v>17</v>
      </c>
      <c r="BF66" s="2">
        <f>((Table100[[#This Row],[Damage Dice]]/2)*Table100[[#This Row],['# Dice]])+((Table100[[#This Row],[Bonus Damage Dice]]/2)*Table100[[#This Row],[Bonus '# Dice]])+Table100[[#This Row],[Bonus Damage]]</f>
        <v>25</v>
      </c>
      <c r="BG66">
        <v>10</v>
      </c>
      <c r="BH66" t="s">
        <v>639</v>
      </c>
    </row>
    <row r="67" spans="1:60" x14ac:dyDescent="0.35">
      <c r="A67" t="s">
        <v>8</v>
      </c>
      <c r="B67" t="s">
        <v>79</v>
      </c>
      <c r="C67" t="s">
        <v>434</v>
      </c>
      <c r="H67" t="s">
        <v>372</v>
      </c>
      <c r="I67" t="s">
        <v>378</v>
      </c>
      <c r="J67" t="str">
        <f>CONCATENATE(Table60[[#This Row],[Creature]],Table60[[#This Row],[Attack Name]])</f>
        <v>BrontosaurusStomp</v>
      </c>
      <c r="K67">
        <v>5</v>
      </c>
      <c r="L67">
        <v>8</v>
      </c>
      <c r="M67" t="s">
        <v>0</v>
      </c>
      <c r="N67">
        <f>VLOOKUP(VLOOKUP(Table60[[#This Row],[Creature]],Table57[],MATCH(Table60[[#This Row],[Strength or Dexterity]],Table57[#Headers],0),FALSE),Modifier[],2,FALSE)+$B$31</f>
        <v>13</v>
      </c>
      <c r="Q67">
        <v>20</v>
      </c>
      <c r="R67" t="s">
        <v>381</v>
      </c>
      <c r="S67" t="s">
        <v>392</v>
      </c>
      <c r="V67" t="s">
        <v>54</v>
      </c>
      <c r="W67">
        <v>3</v>
      </c>
      <c r="X67" t="str">
        <f>CONCATENATE(Table70[[#This Row],[Creature]],Table70[[#This Row],[Number]])</f>
        <v>Archdruid3</v>
      </c>
      <c r="Y67" t="s">
        <v>528</v>
      </c>
      <c r="Z67" t="s">
        <v>519</v>
      </c>
      <c r="AA67" t="s">
        <v>0</v>
      </c>
      <c r="AB67">
        <v>15</v>
      </c>
      <c r="AE67">
        <v>4</v>
      </c>
      <c r="AF67">
        <v>10</v>
      </c>
      <c r="AG67">
        <v>7</v>
      </c>
      <c r="AL67">
        <f>((Table70[[#This Row],[Damage Dice]]/2)*Table70[[#This Row],['# Dice]])+(Table70[[#This Row],[Bonus Damage Dice]]/2)*Table70[[#This Row],[Bonus '# Dice]]+Table70[[#This Row],[Bonus Damage]]</f>
        <v>27</v>
      </c>
      <c r="AM67">
        <v>5</v>
      </c>
      <c r="AP67" t="s">
        <v>400</v>
      </c>
      <c r="AQ67">
        <v>2</v>
      </c>
      <c r="AR67" s="2" t="str">
        <f>CONCATENATE(Table100[[#This Row],[Creature]],Table100[[#This Row],[Number]])</f>
        <v>Ulitharid2</v>
      </c>
      <c r="AS67" t="s">
        <v>637</v>
      </c>
      <c r="AT67" t="s">
        <v>519</v>
      </c>
      <c r="AV67">
        <v>9</v>
      </c>
      <c r="AY67">
        <v>10</v>
      </c>
      <c r="AZ67">
        <v>10</v>
      </c>
      <c r="BF67" s="2">
        <f>((Table100[[#This Row],[Damage Dice]]/2)*Table100[[#This Row],['# Dice]])+((Table100[[#This Row],[Bonus Damage Dice]]/2)*Table100[[#This Row],[Bonus '# Dice]])+Table100[[#This Row],[Bonus Damage]]</f>
        <v>50</v>
      </c>
      <c r="BG67">
        <v>5</v>
      </c>
    </row>
    <row r="68" spans="1:60" x14ac:dyDescent="0.35">
      <c r="A68" t="s">
        <v>47</v>
      </c>
      <c r="B68">
        <v>1</v>
      </c>
      <c r="H68" t="s">
        <v>372</v>
      </c>
      <c r="I68" t="s">
        <v>388</v>
      </c>
      <c r="J68" t="str">
        <f>CONCATENATE(Table60[[#This Row],[Creature]],Table60[[#This Row],[Attack Name]])</f>
        <v>BrontosaurusTail</v>
      </c>
      <c r="K68">
        <v>6</v>
      </c>
      <c r="L68">
        <v>8</v>
      </c>
      <c r="M68" t="s">
        <v>0</v>
      </c>
      <c r="N68">
        <f>VLOOKUP(VLOOKUP(Table60[[#This Row],[Creature]],Table57[],MATCH(Table60[[#This Row],[Strength or Dexterity]],Table57[#Headers],0),FALSE),Modifier[],2,FALSE)+$B$31</f>
        <v>13</v>
      </c>
      <c r="Q68">
        <v>20</v>
      </c>
      <c r="V68" t="s">
        <v>54</v>
      </c>
      <c r="W68">
        <v>4</v>
      </c>
      <c r="X68" t="str">
        <f>CONCATENATE(Table70[[#This Row],[Creature]],Table70[[#This Row],[Number]])</f>
        <v>Archdruid4</v>
      </c>
      <c r="Y68" t="s">
        <v>395</v>
      </c>
      <c r="Z68" t="s">
        <v>519</v>
      </c>
      <c r="AA68" t="s">
        <v>0</v>
      </c>
      <c r="AB68">
        <v>15</v>
      </c>
      <c r="AE68">
        <v>4</v>
      </c>
      <c r="AF68">
        <v>8</v>
      </c>
      <c r="AG68">
        <v>7</v>
      </c>
      <c r="AJ68" t="s">
        <v>0</v>
      </c>
      <c r="AK68">
        <v>23</v>
      </c>
      <c r="AL68">
        <f>((Table70[[#This Row],[Damage Dice]]/2)*Table70[[#This Row],['# Dice]])+(Table70[[#This Row],[Bonus Damage Dice]]/2)*Table70[[#This Row],[Bonus '# Dice]]+Table70[[#This Row],[Bonus Damage]]</f>
        <v>23</v>
      </c>
      <c r="AM68">
        <v>10</v>
      </c>
      <c r="AN68" t="s">
        <v>381</v>
      </c>
      <c r="AP68" t="s">
        <v>400</v>
      </c>
      <c r="AQ68">
        <v>3</v>
      </c>
      <c r="AR68" t="str">
        <f>CONCATENATE(Table100[[#This Row],[Creature]],Table100[[#This Row],[Number]])</f>
        <v>Ulitharid3</v>
      </c>
      <c r="AS68" t="s">
        <v>638</v>
      </c>
      <c r="AT68" t="s">
        <v>89</v>
      </c>
      <c r="AW68" t="s">
        <v>410</v>
      </c>
      <c r="AX68">
        <v>17</v>
      </c>
      <c r="AY68">
        <v>4</v>
      </c>
      <c r="AZ68">
        <v>12</v>
      </c>
      <c r="BA68">
        <v>5</v>
      </c>
      <c r="BF68">
        <f>((Table100[[#This Row],[Damage Dice]]/2)*Table100[[#This Row],['# Dice]])+((Table100[[#This Row],[Bonus Damage Dice]]/2)*Table100[[#This Row],[Bonus '# Dice]])+Table100[[#This Row],[Bonus Damage]]</f>
        <v>29</v>
      </c>
      <c r="BG68">
        <v>60</v>
      </c>
      <c r="BH68" t="s">
        <v>537</v>
      </c>
    </row>
    <row r="69" spans="1:60" x14ac:dyDescent="0.35">
      <c r="A69" t="s">
        <v>49</v>
      </c>
      <c r="B69">
        <v>1</v>
      </c>
      <c r="H69" t="s">
        <v>373</v>
      </c>
      <c r="I69" t="s">
        <v>384</v>
      </c>
      <c r="J69" t="str">
        <f>CONCATENATE(Table60[[#This Row],[Creature]],Table60[[#This Row],[Attack Name]])</f>
        <v>Earth ElementalSlam</v>
      </c>
      <c r="K69">
        <v>2</v>
      </c>
      <c r="L69">
        <v>8</v>
      </c>
      <c r="M69" t="s">
        <v>0</v>
      </c>
      <c r="N69">
        <f>VLOOKUP(VLOOKUP(Table60[[#This Row],[Creature]],Table57[],MATCH(Table60[[#This Row],[Strength or Dexterity]],Table57[#Headers],0),FALSE),Modifier[],2,FALSE)+$B$31</f>
        <v>13</v>
      </c>
      <c r="Q69">
        <v>10</v>
      </c>
      <c r="V69" t="s">
        <v>54</v>
      </c>
      <c r="W69">
        <v>5</v>
      </c>
      <c r="X69" t="str">
        <f>CONCATENATE(Table70[[#This Row],[Creature]],Table70[[#This Row],[Number]])</f>
        <v>Archdruid5</v>
      </c>
      <c r="Y69" t="s">
        <v>529</v>
      </c>
      <c r="Z69" t="s">
        <v>519</v>
      </c>
      <c r="AA69" t="s">
        <v>0</v>
      </c>
      <c r="AB69">
        <v>12</v>
      </c>
      <c r="AE69">
        <v>2</v>
      </c>
      <c r="AF69">
        <v>8</v>
      </c>
      <c r="AG69">
        <v>4</v>
      </c>
      <c r="AH69">
        <v>2</v>
      </c>
      <c r="AI69">
        <v>10</v>
      </c>
      <c r="AL69">
        <f>((Table70[[#This Row],[Damage Dice]]/2)*Table70[[#This Row],['# Dice]])+(Table70[[#This Row],[Bonus Damage Dice]]/2)*Table70[[#This Row],[Bonus '# Dice]]+Table70[[#This Row],[Bonus Damage]]</f>
        <v>22</v>
      </c>
      <c r="AM69">
        <v>5</v>
      </c>
      <c r="AP69" t="s">
        <v>400</v>
      </c>
      <c r="AQ69">
        <v>4</v>
      </c>
      <c r="AR69" s="2" t="str">
        <f>CONCATENATE(Table100[[#This Row],[Creature]],Table100[[#This Row],[Number]])</f>
        <v>Ulitharid4</v>
      </c>
      <c r="AS69" t="s">
        <v>640</v>
      </c>
      <c r="AT69" t="s">
        <v>89</v>
      </c>
      <c r="AW69" t="s">
        <v>411</v>
      </c>
      <c r="AX69">
        <v>17</v>
      </c>
      <c r="BF69" s="2">
        <f>((Table100[[#This Row],[Damage Dice]]/2)*Table100[[#This Row],['# Dice]])+((Table100[[#This Row],[Bonus Damage Dice]]/2)*Table100[[#This Row],[Bonus '# Dice]])+Table100[[#This Row],[Bonus Damage]]</f>
        <v>0</v>
      </c>
      <c r="BG69">
        <v>60</v>
      </c>
      <c r="BH69" t="s">
        <v>358</v>
      </c>
    </row>
    <row r="70" spans="1:60" x14ac:dyDescent="0.35">
      <c r="A70" t="s">
        <v>44</v>
      </c>
      <c r="B70">
        <v>1</v>
      </c>
      <c r="H70" t="s">
        <v>347</v>
      </c>
      <c r="I70" t="s">
        <v>230</v>
      </c>
      <c r="J70" s="2" t="str">
        <f>CONCATENATE(Table60[[#This Row],[Creature]],Table60[[#This Row],[Attack Name]])</f>
        <v>Giant Coral SnakeBite</v>
      </c>
      <c r="K70">
        <v>2</v>
      </c>
      <c r="L70">
        <v>4</v>
      </c>
      <c r="M70" t="s">
        <v>1</v>
      </c>
      <c r="N70" s="2">
        <f>VLOOKUP(VLOOKUP(Table60[[#This Row],[Creature]],Table57[],MATCH(Table60[[#This Row],[Strength or Dexterity]],Table57[#Headers],0),FALSE),Modifier[],2,FALSE)+$B$31</f>
        <v>11</v>
      </c>
      <c r="V70" t="s">
        <v>54</v>
      </c>
      <c r="W70">
        <v>6</v>
      </c>
      <c r="X70" t="str">
        <f>CONCATENATE(Table70[[#This Row],[Creature]],Table70[[#This Row],[Number]])</f>
        <v>Archdruid6</v>
      </c>
      <c r="Y70" t="s">
        <v>530</v>
      </c>
      <c r="Z70" t="s">
        <v>519</v>
      </c>
      <c r="AA70" t="s">
        <v>1</v>
      </c>
      <c r="AB70">
        <v>11</v>
      </c>
      <c r="AE70">
        <v>2</v>
      </c>
      <c r="AF70">
        <v>6</v>
      </c>
      <c r="AG70">
        <v>3</v>
      </c>
      <c r="AL70">
        <f>((Table70[[#This Row],[Damage Dice]]/2)*Table70[[#This Row],['# Dice]])+(Table70[[#This Row],[Bonus Damage Dice]]/2)*Table70[[#This Row],[Bonus '# Dice]]+Table70[[#This Row],[Bonus Damage]]</f>
        <v>9</v>
      </c>
      <c r="AM70">
        <v>5</v>
      </c>
      <c r="AP70" t="s">
        <v>400</v>
      </c>
      <c r="AQ70">
        <v>5</v>
      </c>
      <c r="AR70" s="2" t="str">
        <f>CONCATENATE(Table100[[#This Row],[Creature]],Table100[[#This Row],[Number]])</f>
        <v>Ulitharid5</v>
      </c>
      <c r="AS70" t="s">
        <v>643</v>
      </c>
      <c r="AT70" t="s">
        <v>89</v>
      </c>
      <c r="AW70" t="s">
        <v>412</v>
      </c>
      <c r="AX70">
        <v>17</v>
      </c>
      <c r="AY70">
        <v>4</v>
      </c>
      <c r="AZ70">
        <v>6</v>
      </c>
      <c r="BF70" s="2">
        <f>((Table100[[#This Row],[Damage Dice]]/2)*Table100[[#This Row],['# Dice]])+((Table100[[#This Row],[Bonus Damage Dice]]/2)*Table100[[#This Row],[Bonus '# Dice]])+Table100[[#This Row],[Bonus Damage]]</f>
        <v>12</v>
      </c>
      <c r="BG70">
        <v>150</v>
      </c>
    </row>
    <row r="71" spans="1:60" x14ac:dyDescent="0.35">
      <c r="A71" t="s">
        <v>46</v>
      </c>
      <c r="B71">
        <v>1</v>
      </c>
      <c r="C71" t="s">
        <v>4</v>
      </c>
      <c r="V71" t="s">
        <v>54</v>
      </c>
      <c r="W71">
        <v>7</v>
      </c>
      <c r="X71" t="str">
        <f>CONCATENATE(Table70[[#This Row],[Creature]],Table70[[#This Row],[Number]])</f>
        <v>Archdruid7</v>
      </c>
      <c r="Y71" t="s">
        <v>531</v>
      </c>
      <c r="Z71" t="s">
        <v>519</v>
      </c>
      <c r="AA71" t="s">
        <v>0</v>
      </c>
      <c r="AB71">
        <v>13</v>
      </c>
      <c r="AE71">
        <v>3</v>
      </c>
      <c r="AF71">
        <v>10</v>
      </c>
      <c r="AG71">
        <v>5</v>
      </c>
      <c r="AL71">
        <f>((Table70[[#This Row],[Damage Dice]]/2)*Table70[[#This Row],['# Dice]])+(Table70[[#This Row],[Bonus Damage Dice]]/2)*Table70[[#This Row],[Bonus '# Dice]]+Table70[[#This Row],[Bonus Damage]]</f>
        <v>20</v>
      </c>
      <c r="AM71">
        <v>5</v>
      </c>
      <c r="AP71" t="s">
        <v>400</v>
      </c>
      <c r="AQ71">
        <v>6</v>
      </c>
      <c r="AR71" s="2" t="str">
        <f>CONCATENATE(Table100[[#This Row],[Creature]],Table100[[#This Row],[Number]])</f>
        <v>Ulitharid6</v>
      </c>
      <c r="AS71" t="s">
        <v>357</v>
      </c>
      <c r="AT71" t="s">
        <v>89</v>
      </c>
      <c r="AW71" t="s">
        <v>411</v>
      </c>
      <c r="AX71">
        <v>17</v>
      </c>
      <c r="BF71" s="2">
        <f>((Table100[[#This Row],[Damage Dice]]/2)*Table100[[#This Row],['# Dice]])+((Table100[[#This Row],[Bonus Damage Dice]]/2)*Table100[[#This Row],[Bonus '# Dice]])+Table100[[#This Row],[Bonus Damage]]</f>
        <v>0</v>
      </c>
      <c r="BG71">
        <v>60</v>
      </c>
      <c r="BH71" t="s">
        <v>358</v>
      </c>
    </row>
    <row r="72" spans="1:60" x14ac:dyDescent="0.35">
      <c r="A72" t="s">
        <v>48</v>
      </c>
      <c r="B72">
        <v>1</v>
      </c>
      <c r="V72" t="s">
        <v>54</v>
      </c>
      <c r="W72">
        <v>8</v>
      </c>
      <c r="X72" t="str">
        <f>CONCATENATE(Table70[[#This Row],[Creature]],Table70[[#This Row],[Number]])</f>
        <v>Archdruid8</v>
      </c>
      <c r="Y72" t="s">
        <v>532</v>
      </c>
      <c r="Z72" t="s">
        <v>519</v>
      </c>
      <c r="AA72" t="s">
        <v>0</v>
      </c>
      <c r="AB72">
        <v>13</v>
      </c>
      <c r="AE72">
        <v>2</v>
      </c>
      <c r="AF72">
        <v>8</v>
      </c>
      <c r="AG72">
        <v>5</v>
      </c>
      <c r="AL72">
        <f>((Table70[[#This Row],[Damage Dice]]/2)*Table70[[#This Row],['# Dice]])+(Table70[[#This Row],[Bonus Damage Dice]]/2)*Table70[[#This Row],[Bonus '# Dice]]+Table70[[#This Row],[Bonus Damage]]</f>
        <v>13</v>
      </c>
      <c r="AM72">
        <v>10</v>
      </c>
      <c r="AP72" t="s">
        <v>400</v>
      </c>
      <c r="AQ72">
        <v>7</v>
      </c>
      <c r="AR72" s="2" t="str">
        <f>CONCATENATE(Table100[[#This Row],[Creature]],Table100[[#This Row],[Number]])</f>
        <v>Ulitharid7</v>
      </c>
      <c r="AS72" t="s">
        <v>22</v>
      </c>
      <c r="AT72" t="s">
        <v>89</v>
      </c>
      <c r="AW72" t="s">
        <v>0</v>
      </c>
      <c r="BF72" s="2">
        <f>((Table100[[#This Row],[Damage Dice]]/2)*Table100[[#This Row],['# Dice]])+((Table100[[#This Row],[Bonus Damage Dice]]/2)*Table100[[#This Row],[Bonus '# Dice]])+Table100[[#This Row],[Bonus Damage]]</f>
        <v>0</v>
      </c>
      <c r="BG72">
        <v>60</v>
      </c>
      <c r="BH72" t="s">
        <v>365</v>
      </c>
    </row>
    <row r="73" spans="1:60" x14ac:dyDescent="0.35">
      <c r="A73" t="s">
        <v>360</v>
      </c>
      <c r="B73">
        <v>1</v>
      </c>
      <c r="H73" t="s">
        <v>321</v>
      </c>
      <c r="I73" t="s">
        <v>322</v>
      </c>
      <c r="J73" t="s">
        <v>312</v>
      </c>
      <c r="K73" t="s">
        <v>323</v>
      </c>
      <c r="L73" t="s">
        <v>331</v>
      </c>
      <c r="V73" t="s">
        <v>54</v>
      </c>
      <c r="W73">
        <v>9</v>
      </c>
      <c r="X73" t="str">
        <f>CONCATENATE(Table70[[#This Row],[Creature]],Table70[[#This Row],[Number]])</f>
        <v>Archdruid9</v>
      </c>
      <c r="Y73" t="s">
        <v>533</v>
      </c>
      <c r="Z73" t="s">
        <v>519</v>
      </c>
      <c r="AA73" t="s">
        <v>0</v>
      </c>
      <c r="AB73">
        <v>13</v>
      </c>
      <c r="AE73">
        <v>5</v>
      </c>
      <c r="AF73">
        <v>8</v>
      </c>
      <c r="AG73">
        <v>5</v>
      </c>
      <c r="AL73">
        <f>((Table70[[#This Row],[Damage Dice]]/2)*Table70[[#This Row],['# Dice]])+(Table70[[#This Row],[Bonus Damage Dice]]/2)*Table70[[#This Row],[Bonus '# Dice]]+Table70[[#This Row],[Bonus Damage]]</f>
        <v>25</v>
      </c>
      <c r="AM73">
        <v>20</v>
      </c>
      <c r="AP73" t="s">
        <v>401</v>
      </c>
      <c r="AQ73">
        <v>1</v>
      </c>
      <c r="AR73" t="str">
        <f>CONCATENATE(Table100[[#This Row],[Creature]],Table100[[#This Row],[Number]])</f>
        <v>Mind Witness1</v>
      </c>
      <c r="AS73" t="s">
        <v>230</v>
      </c>
      <c r="AT73" t="s">
        <v>519</v>
      </c>
      <c r="AV73">
        <v>5</v>
      </c>
      <c r="AY73">
        <v>4</v>
      </c>
      <c r="AZ73">
        <v>6</v>
      </c>
      <c r="BA73">
        <v>2</v>
      </c>
      <c r="BF73">
        <f>((Table100[[#This Row],[Damage Dice]]/2)*Table100[[#This Row],['# Dice]])+((Table100[[#This Row],[Bonus Damage Dice]]/2)*Table100[[#This Row],[Bonus '# Dice]])+Table100[[#This Row],[Bonus Damage]]</f>
        <v>14</v>
      </c>
      <c r="BG73">
        <v>5</v>
      </c>
    </row>
    <row r="74" spans="1:60" x14ac:dyDescent="0.35">
      <c r="A74" t="s">
        <v>468</v>
      </c>
      <c r="B74">
        <v>2</v>
      </c>
      <c r="C74" t="s">
        <v>3</v>
      </c>
      <c r="H74" t="s">
        <v>324</v>
      </c>
      <c r="I74">
        <v>1</v>
      </c>
      <c r="J74">
        <v>12</v>
      </c>
      <c r="K74" t="s">
        <v>0</v>
      </c>
      <c r="L74" t="s">
        <v>332</v>
      </c>
      <c r="V74" t="s">
        <v>54</v>
      </c>
      <c r="W74">
        <v>10</v>
      </c>
      <c r="X74" t="str">
        <f>CONCATENATE(Table70[[#This Row],[Creature]],Table70[[#This Row],[Number]])</f>
        <v>Archdruid10</v>
      </c>
      <c r="Y74" t="s">
        <v>534</v>
      </c>
      <c r="Z74" t="s">
        <v>519</v>
      </c>
      <c r="AA74" t="s">
        <v>0</v>
      </c>
      <c r="AB74">
        <v>13</v>
      </c>
      <c r="AE74">
        <v>6</v>
      </c>
      <c r="AF74">
        <v>8</v>
      </c>
      <c r="AG74">
        <v>5</v>
      </c>
      <c r="AL74">
        <f>((Table70[[#This Row],[Damage Dice]]/2)*Table70[[#This Row],['# Dice]])+(Table70[[#This Row],[Bonus Damage Dice]]/2)*Table70[[#This Row],[Bonus '# Dice]]+Table70[[#This Row],[Bonus Damage]]</f>
        <v>29</v>
      </c>
      <c r="AM74">
        <v>20</v>
      </c>
      <c r="AP74" t="s">
        <v>401</v>
      </c>
      <c r="AQ74">
        <v>2</v>
      </c>
      <c r="AR74" s="2" t="str">
        <f>CONCATENATE(Table100[[#This Row],[Creature]],Table100[[#This Row],[Number]])</f>
        <v>Mind Witness2</v>
      </c>
      <c r="AS74" t="s">
        <v>272</v>
      </c>
      <c r="AT74" t="s">
        <v>519</v>
      </c>
      <c r="AV74">
        <v>5</v>
      </c>
      <c r="AY74">
        <v>4</v>
      </c>
      <c r="AZ74">
        <v>8</v>
      </c>
      <c r="BA74">
        <v>2</v>
      </c>
      <c r="BD74" t="s">
        <v>410</v>
      </c>
      <c r="BE74">
        <v>13</v>
      </c>
      <c r="BF74" s="2">
        <f>((Table100[[#This Row],[Damage Dice]]/2)*Table100[[#This Row],['# Dice]])+((Table100[[#This Row],[Bonus Damage Dice]]/2)*Table100[[#This Row],[Bonus '# Dice]])+Table100[[#This Row],[Bonus Damage]]</f>
        <v>18</v>
      </c>
      <c r="BG74">
        <v>10</v>
      </c>
      <c r="BH74" t="s">
        <v>649</v>
      </c>
    </row>
    <row r="75" spans="1:60" x14ac:dyDescent="0.35">
      <c r="A75" t="s">
        <v>40</v>
      </c>
      <c r="B75">
        <v>2</v>
      </c>
      <c r="C75" t="s">
        <v>1</v>
      </c>
      <c r="H75" t="s">
        <v>325</v>
      </c>
      <c r="I75">
        <v>2</v>
      </c>
      <c r="J75">
        <v>6</v>
      </c>
      <c r="K75" t="s">
        <v>0</v>
      </c>
      <c r="L75" t="s">
        <v>332</v>
      </c>
      <c r="V75" t="s">
        <v>54</v>
      </c>
      <c r="W75">
        <v>11</v>
      </c>
      <c r="X75" t="str">
        <f>CONCATENATE(Table70[[#This Row],[Creature]],Table70[[#This Row],[Number]])</f>
        <v>Archdruid11</v>
      </c>
      <c r="Y75" t="s">
        <v>535</v>
      </c>
      <c r="Z75" t="s">
        <v>519</v>
      </c>
      <c r="AA75" t="s">
        <v>0</v>
      </c>
      <c r="AB75">
        <v>13</v>
      </c>
      <c r="AE75">
        <v>2</v>
      </c>
      <c r="AF75">
        <v>8</v>
      </c>
      <c r="AG75">
        <v>5</v>
      </c>
      <c r="AL75">
        <f>((Table70[[#This Row],[Damage Dice]]/2)*Table70[[#This Row],['# Dice]])+(Table70[[#This Row],[Bonus Damage Dice]]/2)*Table70[[#This Row],[Bonus '# Dice]]+Table70[[#This Row],[Bonus Damage]]</f>
        <v>13</v>
      </c>
      <c r="AM75">
        <v>10</v>
      </c>
      <c r="AP75" t="s">
        <v>401</v>
      </c>
      <c r="AQ75">
        <v>3</v>
      </c>
      <c r="AR75" s="2" t="str">
        <f>CONCATENATE(Table100[[#This Row],[Creature]],Table100[[#This Row],[Number]])</f>
        <v>Mind Witness3</v>
      </c>
      <c r="AS75" t="s">
        <v>644</v>
      </c>
      <c r="AT75" t="s">
        <v>89</v>
      </c>
      <c r="AW75" t="s">
        <v>412</v>
      </c>
      <c r="AX75">
        <v>13</v>
      </c>
      <c r="BF75" s="2">
        <f>((Table100[[#This Row],[Damage Dice]]/2)*Table100[[#This Row],['# Dice]])+((Table100[[#This Row],[Bonus Damage Dice]]/2)*Table100[[#This Row],[Bonus '# Dice]])+Table100[[#This Row],[Bonus Damage]]</f>
        <v>0</v>
      </c>
      <c r="BG75">
        <v>120</v>
      </c>
    </row>
    <row r="76" spans="1:60" x14ac:dyDescent="0.35">
      <c r="A76" t="s">
        <v>42</v>
      </c>
      <c r="B76">
        <v>2</v>
      </c>
      <c r="H76" t="s">
        <v>326</v>
      </c>
      <c r="I76">
        <v>1</v>
      </c>
      <c r="J76">
        <v>8</v>
      </c>
      <c r="K76" t="s">
        <v>1</v>
      </c>
      <c r="L76" t="s">
        <v>333</v>
      </c>
      <c r="V76" t="s">
        <v>54</v>
      </c>
      <c r="W76">
        <v>12</v>
      </c>
      <c r="X76" t="str">
        <f>CONCATENATE(Table70[[#This Row],[Creature]],Table70[[#This Row],[Number]])</f>
        <v>Archdruid12</v>
      </c>
      <c r="Y76" t="s">
        <v>536</v>
      </c>
      <c r="Z76" t="s">
        <v>519</v>
      </c>
      <c r="AA76" t="s">
        <v>1</v>
      </c>
      <c r="AB76">
        <v>11</v>
      </c>
      <c r="AE76">
        <v>2</v>
      </c>
      <c r="AF76">
        <v>4</v>
      </c>
      <c r="AG76">
        <v>2</v>
      </c>
      <c r="AJ76" t="s">
        <v>2</v>
      </c>
      <c r="AK76">
        <v>18</v>
      </c>
      <c r="AL76">
        <f>((Table70[[#This Row],[Damage Dice]]/2)*Table70[[#This Row],['# Dice]])+(Table70[[#This Row],[Bonus Damage Dice]]/2)*Table70[[#This Row],[Bonus '# Dice]]+Table70[[#This Row],[Bonus Damage]]</f>
        <v>6</v>
      </c>
      <c r="AM76">
        <v>5</v>
      </c>
      <c r="AN76" t="s">
        <v>537</v>
      </c>
      <c r="AP76" t="s">
        <v>401</v>
      </c>
      <c r="AQ76">
        <v>4</v>
      </c>
      <c r="AR76" s="2" t="str">
        <f>CONCATENATE(Table100[[#This Row],[Creature]],Table100[[#This Row],[Number]])</f>
        <v>Mind Witness4</v>
      </c>
      <c r="AS76" t="s">
        <v>595</v>
      </c>
      <c r="AT76" t="s">
        <v>89</v>
      </c>
      <c r="AW76" t="s">
        <v>411</v>
      </c>
      <c r="AX76">
        <v>13</v>
      </c>
      <c r="BF76" s="2">
        <f>((Table100[[#This Row],[Damage Dice]]/2)*Table100[[#This Row],['# Dice]])+((Table100[[#This Row],[Bonus Damage Dice]]/2)*Table100[[#This Row],[Bonus '# Dice]])+Table100[[#This Row],[Bonus Damage]]</f>
        <v>0</v>
      </c>
      <c r="BG76">
        <v>120</v>
      </c>
      <c r="BH76" t="s">
        <v>596</v>
      </c>
    </row>
    <row r="77" spans="1:60" x14ac:dyDescent="0.35">
      <c r="A77" t="s">
        <v>43</v>
      </c>
      <c r="B77">
        <v>2</v>
      </c>
      <c r="H77" t="s">
        <v>327</v>
      </c>
      <c r="I77">
        <v>1</v>
      </c>
      <c r="J77">
        <v>6</v>
      </c>
      <c r="K77" t="s">
        <v>1</v>
      </c>
      <c r="L77" t="s">
        <v>334</v>
      </c>
      <c r="V77" t="s">
        <v>54</v>
      </c>
      <c r="W77">
        <v>13</v>
      </c>
      <c r="X77" s="2" t="str">
        <f>CONCATENATE(Table70[[#This Row],[Creature]],Table70[[#This Row],[Number]])</f>
        <v>Archdruid13</v>
      </c>
      <c r="Y77" t="s">
        <v>584</v>
      </c>
      <c r="Z77" t="s">
        <v>89</v>
      </c>
      <c r="AA77" t="s">
        <v>0</v>
      </c>
      <c r="AC77" t="s">
        <v>415</v>
      </c>
      <c r="AD77">
        <v>24</v>
      </c>
      <c r="AL77">
        <f>((Table70[[#This Row],[Damage Dice]]/2)*Table70[[#This Row],['# Dice]])+(Table70[[#This Row],[Bonus Damage Dice]]/2)*Table70[[#This Row],[Bonus '# Dice]]+Table70[[#This Row],[Bonus Damage]]</f>
        <v>0</v>
      </c>
      <c r="AN77" t="s">
        <v>381</v>
      </c>
      <c r="AP77" t="s">
        <v>401</v>
      </c>
      <c r="AQ77">
        <v>5</v>
      </c>
      <c r="AR77" s="2" t="str">
        <f>CONCATENATE(Table100[[#This Row],[Creature]],Table100[[#This Row],[Number]])</f>
        <v>Mind Witness5</v>
      </c>
      <c r="AS77" t="s">
        <v>645</v>
      </c>
      <c r="AT77" t="s">
        <v>89</v>
      </c>
      <c r="AW77" t="s">
        <v>410</v>
      </c>
      <c r="AX77">
        <v>13</v>
      </c>
      <c r="AY77">
        <v>6</v>
      </c>
      <c r="AZ77">
        <v>8</v>
      </c>
      <c r="BF77" s="2">
        <f>((Table100[[#This Row],[Damage Dice]]/2)*Table100[[#This Row],['# Dice]])+((Table100[[#This Row],[Bonus Damage Dice]]/2)*Table100[[#This Row],[Bonus '# Dice]])+Table100[[#This Row],[Bonus Damage]]</f>
        <v>24</v>
      </c>
      <c r="BG77">
        <v>120</v>
      </c>
    </row>
    <row r="78" spans="1:60" x14ac:dyDescent="0.35">
      <c r="A78" t="s">
        <v>474</v>
      </c>
      <c r="B78">
        <v>2</v>
      </c>
      <c r="H78" t="s">
        <v>328</v>
      </c>
      <c r="I78">
        <v>1</v>
      </c>
      <c r="J78">
        <v>10</v>
      </c>
      <c r="K78" t="s">
        <v>1</v>
      </c>
      <c r="L78" t="s">
        <v>335</v>
      </c>
      <c r="V78" t="s">
        <v>54</v>
      </c>
      <c r="W78">
        <v>14</v>
      </c>
      <c r="X78" s="2" t="str">
        <f>CONCATENATE(Table70[[#This Row],[Creature]],Table70[[#This Row],[Number]])</f>
        <v>Archdruid14</v>
      </c>
      <c r="Y78" t="s">
        <v>585</v>
      </c>
      <c r="Z78" t="s">
        <v>89</v>
      </c>
      <c r="AA78" t="s">
        <v>0</v>
      </c>
      <c r="AC78" t="s">
        <v>415</v>
      </c>
      <c r="AD78">
        <v>22</v>
      </c>
      <c r="AL78">
        <f>((Table70[[#This Row],[Damage Dice]]/2)*Table70[[#This Row],['# Dice]])+(Table70[[#This Row],[Bonus Damage Dice]]/2)*Table70[[#This Row],[Bonus '# Dice]]+Table70[[#This Row],[Bonus Damage]]</f>
        <v>0</v>
      </c>
      <c r="AN78" t="s">
        <v>381</v>
      </c>
      <c r="AP78" t="s">
        <v>401</v>
      </c>
      <c r="AQ78">
        <v>6</v>
      </c>
      <c r="AR78" s="2" t="str">
        <f>CONCATENATE(Table100[[#This Row],[Creature]],Table100[[#This Row],[Number]])</f>
        <v>Mind Witness6</v>
      </c>
      <c r="AS78" t="s">
        <v>646</v>
      </c>
      <c r="AT78" t="s">
        <v>89</v>
      </c>
      <c r="AW78" t="s">
        <v>414</v>
      </c>
      <c r="AX78">
        <v>13</v>
      </c>
      <c r="BF78" s="2">
        <f>((Table100[[#This Row],[Damage Dice]]/2)*Table100[[#This Row],['# Dice]])+((Table100[[#This Row],[Bonus Damage Dice]]/2)*Table100[[#This Row],[Bonus '# Dice]])+Table100[[#This Row],[Bonus Damage]]</f>
        <v>0</v>
      </c>
      <c r="BG78">
        <v>120</v>
      </c>
    </row>
    <row r="79" spans="1:60" x14ac:dyDescent="0.35">
      <c r="A79" t="s">
        <v>435</v>
      </c>
      <c r="B79">
        <v>3</v>
      </c>
      <c r="H79" t="s">
        <v>329</v>
      </c>
      <c r="I79">
        <v>1</v>
      </c>
      <c r="J79">
        <v>8</v>
      </c>
      <c r="K79" t="s">
        <v>1</v>
      </c>
      <c r="L79" t="s">
        <v>336</v>
      </c>
      <c r="V79" t="s">
        <v>54</v>
      </c>
      <c r="W79">
        <v>15</v>
      </c>
      <c r="X79" s="2" t="str">
        <f>CONCATENATE(Table70[[#This Row],[Creature]],Table70[[#This Row],[Number]])</f>
        <v>Archdruid15</v>
      </c>
      <c r="Y79" t="s">
        <v>586</v>
      </c>
      <c r="Z79" t="s">
        <v>89</v>
      </c>
      <c r="AA79" t="s">
        <v>0</v>
      </c>
      <c r="AC79" t="s">
        <v>415</v>
      </c>
      <c r="AD79">
        <v>20</v>
      </c>
      <c r="AL79">
        <f>((Table70[[#This Row],[Damage Dice]]/2)*Table70[[#This Row],['# Dice]])+(Table70[[#This Row],[Bonus Damage Dice]]/2)*Table70[[#This Row],[Bonus '# Dice]]+Table70[[#This Row],[Bonus Damage]]</f>
        <v>0</v>
      </c>
      <c r="AN79" t="s">
        <v>381</v>
      </c>
      <c r="AP79" t="s">
        <v>401</v>
      </c>
      <c r="AQ79">
        <v>7</v>
      </c>
      <c r="AR79" s="2" t="str">
        <f>CONCATENATE(Table100[[#This Row],[Creature]],Table100[[#This Row],[Number]])</f>
        <v>Mind Witness7</v>
      </c>
      <c r="AS79" t="s">
        <v>647</v>
      </c>
      <c r="AT79" t="s">
        <v>89</v>
      </c>
      <c r="AW79" t="s">
        <v>413</v>
      </c>
      <c r="AX79">
        <v>13</v>
      </c>
      <c r="BF79" s="2">
        <f>((Table100[[#This Row],[Damage Dice]]/2)*Table100[[#This Row],['# Dice]])+((Table100[[#This Row],[Bonus Damage Dice]]/2)*Table100[[#This Row],[Bonus '# Dice]])+Table100[[#This Row],[Bonus Damage]]</f>
        <v>0</v>
      </c>
      <c r="BG79">
        <v>120</v>
      </c>
      <c r="BH79" t="s">
        <v>537</v>
      </c>
    </row>
    <row r="80" spans="1:60" x14ac:dyDescent="0.35">
      <c r="A80" t="s">
        <v>436</v>
      </c>
      <c r="B80">
        <v>3</v>
      </c>
      <c r="H80" t="s">
        <v>330</v>
      </c>
      <c r="I80">
        <v>1</v>
      </c>
      <c r="J80">
        <v>10</v>
      </c>
      <c r="K80" t="s">
        <v>0</v>
      </c>
      <c r="L80" t="s">
        <v>337</v>
      </c>
      <c r="V80" t="s">
        <v>54</v>
      </c>
      <c r="W80">
        <v>16</v>
      </c>
      <c r="X80" s="2" t="str">
        <f>CONCATENATE(Table70[[#This Row],[Creature]],Table70[[#This Row],[Number]])</f>
        <v>Archdruid16</v>
      </c>
      <c r="Y80" t="s">
        <v>587</v>
      </c>
      <c r="Z80" t="s">
        <v>89</v>
      </c>
      <c r="AA80" t="s">
        <v>2</v>
      </c>
      <c r="AC80" t="s">
        <v>413</v>
      </c>
      <c r="AD80">
        <v>19</v>
      </c>
      <c r="AL80">
        <f>((Table70[[#This Row],[Damage Dice]]/2)*Table70[[#This Row],['# Dice]])+(Table70[[#This Row],[Bonus Damage Dice]]/2)*Table70[[#This Row],[Bonus '# Dice]]+Table70[[#This Row],[Bonus Damage]]</f>
        <v>0</v>
      </c>
      <c r="AN80" t="s">
        <v>537</v>
      </c>
      <c r="AP80" t="s">
        <v>401</v>
      </c>
      <c r="AQ80">
        <v>8</v>
      </c>
      <c r="AR80" s="2" t="str">
        <f>CONCATENATE(Table100[[#This Row],[Creature]],Table100[[#This Row],[Number]])</f>
        <v>Mind Witness8</v>
      </c>
      <c r="AS80" t="s">
        <v>648</v>
      </c>
      <c r="AT80" t="s">
        <v>89</v>
      </c>
      <c r="AW80" t="s">
        <v>415</v>
      </c>
      <c r="AX80">
        <v>13</v>
      </c>
      <c r="BF80" s="2">
        <f>((Table100[[#This Row],[Damage Dice]]/2)*Table100[[#This Row],['# Dice]])+((Table100[[#This Row],[Bonus Damage Dice]]/2)*Table100[[#This Row],[Bonus '# Dice]])+Table100[[#This Row],[Bonus Damage]]</f>
        <v>0</v>
      </c>
      <c r="BG80">
        <v>120</v>
      </c>
      <c r="BH80" t="s">
        <v>365</v>
      </c>
    </row>
    <row r="81" spans="1:60" x14ac:dyDescent="0.35">
      <c r="A81" t="s">
        <v>437</v>
      </c>
      <c r="B81">
        <v>3</v>
      </c>
      <c r="H81" t="s">
        <v>338</v>
      </c>
      <c r="I81">
        <v>1</v>
      </c>
      <c r="J81">
        <v>8</v>
      </c>
      <c r="K81" t="s">
        <v>1</v>
      </c>
      <c r="L81" t="s">
        <v>339</v>
      </c>
      <c r="V81" t="s">
        <v>54</v>
      </c>
      <c r="W81">
        <v>17</v>
      </c>
      <c r="X81" s="2" t="str">
        <f>CONCATENATE(Table70[[#This Row],[Creature]],Table70[[#This Row],[Number]])</f>
        <v>Archdruid17</v>
      </c>
      <c r="Y81" t="s">
        <v>136</v>
      </c>
      <c r="Z81" t="s">
        <v>89</v>
      </c>
      <c r="AC81" t="s">
        <v>415</v>
      </c>
      <c r="AD81">
        <v>21</v>
      </c>
      <c r="AL81">
        <f>((Table70[[#This Row],[Damage Dice]]/2)*Table70[[#This Row],['# Dice]])+(Table70[[#This Row],[Bonus Damage Dice]]/2)*Table70[[#This Row],[Bonus '# Dice]]+Table70[[#This Row],[Bonus Damage]]</f>
        <v>0</v>
      </c>
      <c r="AM81">
        <v>30</v>
      </c>
      <c r="AP81" t="s">
        <v>402</v>
      </c>
      <c r="AQ81">
        <v>1</v>
      </c>
      <c r="AR81" t="str">
        <f>CONCATENATE(Table100[[#This Row],[Creature]],Table100[[#This Row],[Number]])</f>
        <v>Alhoon1</v>
      </c>
      <c r="AS81" t="s">
        <v>652</v>
      </c>
      <c r="AT81" t="s">
        <v>519</v>
      </c>
      <c r="AV81">
        <v>8</v>
      </c>
      <c r="AY81">
        <v>4</v>
      </c>
      <c r="AZ81">
        <v>6</v>
      </c>
      <c r="BF81">
        <f>((Table100[[#This Row],[Damage Dice]]/2)*Table100[[#This Row],['# Dice]])+((Table100[[#This Row],[Bonus Damage Dice]]/2)*Table100[[#This Row],[Bonus '# Dice]])+Table100[[#This Row],[Bonus Damage]]</f>
        <v>12</v>
      </c>
      <c r="BG81">
        <v>5</v>
      </c>
    </row>
    <row r="82" spans="1:60" x14ac:dyDescent="0.35">
      <c r="A82" t="s">
        <v>454</v>
      </c>
      <c r="B82">
        <v>3</v>
      </c>
      <c r="H82" t="s">
        <v>366</v>
      </c>
      <c r="I82">
        <v>2</v>
      </c>
      <c r="J82">
        <v>10</v>
      </c>
      <c r="K82" t="s">
        <v>0</v>
      </c>
      <c r="L82" t="str">
        <f>L80</f>
        <v>Heavy, Two-Handed, Reach</v>
      </c>
      <c r="V82" t="s">
        <v>55</v>
      </c>
      <c r="W82">
        <v>1</v>
      </c>
      <c r="X82" t="str">
        <f>CONCATENATE(Table70[[#This Row],[Creature]],Table70[[#This Row],[Number]])</f>
        <v>Conclave Dryad1</v>
      </c>
      <c r="Y82" t="s">
        <v>538</v>
      </c>
      <c r="Z82" t="s">
        <v>519</v>
      </c>
      <c r="AA82" t="s">
        <v>3</v>
      </c>
      <c r="AB82">
        <v>13</v>
      </c>
      <c r="AE82">
        <v>2</v>
      </c>
      <c r="AF82">
        <v>6</v>
      </c>
      <c r="AG82">
        <v>5</v>
      </c>
      <c r="AJ82" t="s">
        <v>1</v>
      </c>
      <c r="AK82">
        <v>21</v>
      </c>
      <c r="AL82">
        <f>((Table70[[#This Row],[Damage Dice]]/2)*Table70[[#This Row],['# Dice]])+(Table70[[#This Row],[Bonus Damage Dice]]/2)*Table70[[#This Row],[Bonus '# Dice]]+Table70[[#This Row],[Bonus Damage]]</f>
        <v>11</v>
      </c>
      <c r="AM82">
        <v>5</v>
      </c>
      <c r="AN82" t="s">
        <v>365</v>
      </c>
      <c r="AP82" t="s">
        <v>402</v>
      </c>
      <c r="AQ82">
        <v>2</v>
      </c>
      <c r="AR82" s="2" t="str">
        <f>CONCATENATE(Table100[[#This Row],[Creature]],Table100[[#This Row],[Number]])</f>
        <v>Alhoon2</v>
      </c>
      <c r="AS82" t="s">
        <v>653</v>
      </c>
      <c r="AT82" t="s">
        <v>519</v>
      </c>
      <c r="AV82">
        <v>8</v>
      </c>
      <c r="AY82">
        <v>8</v>
      </c>
      <c r="AZ82">
        <v>6</v>
      </c>
      <c r="BF82" s="2">
        <f>((Table100[[#This Row],[Damage Dice]]/2)*Table100[[#This Row],['# Dice]])+((Table100[[#This Row],[Bonus Damage Dice]]/2)*Table100[[#This Row],[Bonus '# Dice]])+Table100[[#This Row],[Bonus Damage]]</f>
        <v>24</v>
      </c>
      <c r="BG82">
        <v>120</v>
      </c>
    </row>
    <row r="83" spans="1:60" x14ac:dyDescent="0.35">
      <c r="A83" t="s">
        <v>460</v>
      </c>
      <c r="B83">
        <v>3</v>
      </c>
      <c r="H83" t="s">
        <v>679</v>
      </c>
      <c r="I83">
        <v>1</v>
      </c>
      <c r="J83">
        <v>10</v>
      </c>
      <c r="K83" t="s">
        <v>1</v>
      </c>
      <c r="V83" t="s">
        <v>55</v>
      </c>
      <c r="W83">
        <v>2</v>
      </c>
      <c r="X83" t="str">
        <f>CONCATENATE(Table70[[#This Row],[Creature]],Table70[[#This Row],[Number]])</f>
        <v>Conclave Dryad2</v>
      </c>
      <c r="Y83" t="s">
        <v>329</v>
      </c>
      <c r="Z83" t="s">
        <v>519</v>
      </c>
      <c r="AA83" t="s">
        <v>1</v>
      </c>
      <c r="AB83">
        <v>12</v>
      </c>
      <c r="AE83">
        <v>1</v>
      </c>
      <c r="AF83">
        <v>8</v>
      </c>
      <c r="AG83">
        <v>4</v>
      </c>
      <c r="AL83">
        <f>((Table70[[#This Row],[Damage Dice]]/2)*Table70[[#This Row],['# Dice]])+(Table70[[#This Row],[Bonus Damage Dice]]/2)*Table70[[#This Row],[Bonus '# Dice]]+Table70[[#This Row],[Bonus Damage]]</f>
        <v>8</v>
      </c>
      <c r="AM83">
        <v>150</v>
      </c>
      <c r="AP83" t="s">
        <v>402</v>
      </c>
      <c r="AQ83">
        <v>3</v>
      </c>
      <c r="AR83" s="2" t="str">
        <f>CONCATENATE(Table100[[#This Row],[Creature]],Table100[[#This Row],[Number]])</f>
        <v>Alhoon3</v>
      </c>
      <c r="AS83" t="s">
        <v>638</v>
      </c>
      <c r="AT83" t="s">
        <v>89</v>
      </c>
      <c r="AW83" t="s">
        <v>410</v>
      </c>
      <c r="AX83">
        <v>16</v>
      </c>
      <c r="AY83">
        <v>4</v>
      </c>
      <c r="AZ83">
        <v>8</v>
      </c>
      <c r="BA83">
        <v>4</v>
      </c>
      <c r="BF83" s="2">
        <f>((Table100[[#This Row],[Damage Dice]]/2)*Table100[[#This Row],['# Dice]])+((Table100[[#This Row],[Bonus Damage Dice]]/2)*Table100[[#This Row],[Bonus '# Dice]])+Table100[[#This Row],[Bonus Damage]]</f>
        <v>20</v>
      </c>
      <c r="BG83">
        <v>60</v>
      </c>
      <c r="BH83" t="s">
        <v>537</v>
      </c>
    </row>
    <row r="84" spans="1:60" x14ac:dyDescent="0.35">
      <c r="A84" t="s">
        <v>34</v>
      </c>
      <c r="B84">
        <v>3</v>
      </c>
      <c r="C84" t="s">
        <v>4</v>
      </c>
      <c r="H84" t="s">
        <v>680</v>
      </c>
      <c r="V84" t="s">
        <v>55</v>
      </c>
      <c r="W84">
        <v>3</v>
      </c>
      <c r="X84" s="2" t="str">
        <f>CONCATENATE(Table70[[#This Row],[Creature]],Table70[[#This Row],[Number]])</f>
        <v>Conclave Dryad3</v>
      </c>
      <c r="Y84" t="s">
        <v>588</v>
      </c>
      <c r="Z84" t="s">
        <v>89</v>
      </c>
      <c r="AA84" t="s">
        <v>1</v>
      </c>
      <c r="AC84" t="s">
        <v>414</v>
      </c>
      <c r="AD84">
        <v>22</v>
      </c>
      <c r="AL84">
        <f>((Table70[[#This Row],[Damage Dice]]/2)*Table70[[#This Row],['# Dice]])+(Table70[[#This Row],[Bonus Damage Dice]]/2)*Table70[[#This Row],[Bonus '# Dice]]+Table70[[#This Row],[Bonus Damage]]</f>
        <v>0</v>
      </c>
      <c r="AN84" t="s">
        <v>365</v>
      </c>
      <c r="AP84" t="s">
        <v>402</v>
      </c>
      <c r="AQ84">
        <v>4</v>
      </c>
      <c r="AR84" s="2" t="str">
        <f>CONCATENATE(Table100[[#This Row],[Creature]],Table100[[#This Row],[Number]])</f>
        <v>Alhoon4</v>
      </c>
      <c r="AS84" t="s">
        <v>640</v>
      </c>
      <c r="AT84" t="s">
        <v>89</v>
      </c>
      <c r="AW84" t="s">
        <v>411</v>
      </c>
      <c r="AX84">
        <v>16</v>
      </c>
      <c r="BF84" s="2">
        <f>((Table100[[#This Row],[Damage Dice]]/2)*Table100[[#This Row],['# Dice]])+((Table100[[#This Row],[Bonus Damage Dice]]/2)*Table100[[#This Row],[Bonus '# Dice]])+Table100[[#This Row],[Bonus Damage]]</f>
        <v>0</v>
      </c>
      <c r="BG84">
        <v>60</v>
      </c>
      <c r="BH84" t="s">
        <v>358</v>
      </c>
    </row>
    <row r="85" spans="1:60" x14ac:dyDescent="0.35">
      <c r="A85" t="s">
        <v>36</v>
      </c>
      <c r="B85">
        <v>3</v>
      </c>
      <c r="C85" t="s">
        <v>4</v>
      </c>
      <c r="V85" t="s">
        <v>55</v>
      </c>
      <c r="W85">
        <v>4</v>
      </c>
      <c r="X85" s="2" t="str">
        <f>CONCATENATE(Table70[[#This Row],[Creature]],Table70[[#This Row],[Number]])</f>
        <v>Conclave Dryad4</v>
      </c>
      <c r="Y85" t="s">
        <v>136</v>
      </c>
      <c r="Z85" t="s">
        <v>89</v>
      </c>
      <c r="AC85" t="s">
        <v>415</v>
      </c>
      <c r="AD85">
        <v>21</v>
      </c>
      <c r="AL85">
        <f>((Table70[[#This Row],[Damage Dice]]/2)*Table70[[#This Row],['# Dice]])+(Table70[[#This Row],[Bonus Damage Dice]]/2)*Table70[[#This Row],[Bonus '# Dice]]+Table70[[#This Row],[Bonus Damage]]</f>
        <v>0</v>
      </c>
      <c r="AM85">
        <v>30</v>
      </c>
      <c r="AP85" t="s">
        <v>403</v>
      </c>
      <c r="AQ85">
        <v>1</v>
      </c>
      <c r="AR85" t="str">
        <f>CONCATENATE(Table100[[#This Row],[Creature]],Table100[[#This Row],[Number]])</f>
        <v>Illithilich1</v>
      </c>
      <c r="AS85" t="s">
        <v>654</v>
      </c>
      <c r="AT85" t="s">
        <v>519</v>
      </c>
      <c r="AV85">
        <v>12</v>
      </c>
      <c r="AY85">
        <v>3</v>
      </c>
      <c r="AZ85">
        <v>6</v>
      </c>
      <c r="BD85" t="s">
        <v>413</v>
      </c>
      <c r="BE85">
        <v>18</v>
      </c>
      <c r="BF85">
        <f>((Table100[[#This Row],[Damage Dice]]/2)*Table100[[#This Row],['# Dice]])+((Table100[[#This Row],[Bonus Damage Dice]]/2)*Table100[[#This Row],[Bonus '# Dice]])+Table100[[#This Row],[Bonus Damage]]</f>
        <v>9</v>
      </c>
      <c r="BG85">
        <v>5</v>
      </c>
      <c r="BH85" t="s">
        <v>594</v>
      </c>
    </row>
    <row r="86" spans="1:60" x14ac:dyDescent="0.35">
      <c r="A86" t="s">
        <v>39</v>
      </c>
      <c r="B86">
        <v>3</v>
      </c>
      <c r="C86" t="s">
        <v>0</v>
      </c>
      <c r="V86" t="s">
        <v>489</v>
      </c>
      <c r="W86">
        <v>1</v>
      </c>
      <c r="X86" t="str">
        <f>CONCATENATE(Table70[[#This Row],[Creature]],Table70[[#This Row],[Number]])</f>
        <v>Facade1</v>
      </c>
      <c r="Y86" t="s">
        <v>505</v>
      </c>
      <c r="Z86" t="s">
        <v>519</v>
      </c>
      <c r="AA86" t="s">
        <v>3</v>
      </c>
      <c r="AB86">
        <v>13</v>
      </c>
      <c r="AE86">
        <v>4</v>
      </c>
      <c r="AF86">
        <v>8</v>
      </c>
      <c r="AG86">
        <v>0</v>
      </c>
      <c r="AL86">
        <f>((Table70[[#This Row],[Damage Dice]]/2)*Table70[[#This Row],['# Dice]])+(Table70[[#This Row],[Bonus Damage Dice]]/2)*Table70[[#This Row],[Bonus '# Dice]]+Table70[[#This Row],[Bonus Damage]]</f>
        <v>16</v>
      </c>
      <c r="AM86">
        <v>5</v>
      </c>
      <c r="AP86" t="s">
        <v>403</v>
      </c>
      <c r="AQ86">
        <v>2</v>
      </c>
      <c r="AR86" s="2" t="str">
        <f>CONCATENATE(Table100[[#This Row],[Creature]],Table100[[#This Row],[Number]])</f>
        <v>Illithilich2</v>
      </c>
      <c r="AS86" t="s">
        <v>272</v>
      </c>
      <c r="AT86" t="s">
        <v>519</v>
      </c>
      <c r="AV86">
        <v>12</v>
      </c>
      <c r="AY86">
        <v>3</v>
      </c>
      <c r="AZ86">
        <v>10</v>
      </c>
      <c r="BA86">
        <v>5</v>
      </c>
      <c r="BD86" t="s">
        <v>410</v>
      </c>
      <c r="BE86">
        <v>20</v>
      </c>
      <c r="BF86" s="2">
        <f>((Table100[[#This Row],[Damage Dice]]/2)*Table100[[#This Row],['# Dice]])+((Table100[[#This Row],[Bonus Damage Dice]]/2)*Table100[[#This Row],[Bonus '# Dice]])+Table100[[#This Row],[Bonus Damage]]</f>
        <v>20</v>
      </c>
      <c r="BG86">
        <v>5</v>
      </c>
      <c r="BH86" t="s">
        <v>639</v>
      </c>
    </row>
    <row r="87" spans="1:60" x14ac:dyDescent="0.35">
      <c r="A87" t="s">
        <v>37</v>
      </c>
      <c r="B87">
        <v>3</v>
      </c>
      <c r="G87" t="s">
        <v>423</v>
      </c>
      <c r="H87" t="s">
        <v>424</v>
      </c>
      <c r="I87" t="s">
        <v>552</v>
      </c>
      <c r="J87" t="s">
        <v>553</v>
      </c>
      <c r="K87" t="s">
        <v>425</v>
      </c>
      <c r="L87" t="s">
        <v>554</v>
      </c>
      <c r="M87" t="s">
        <v>555</v>
      </c>
      <c r="N87" t="s">
        <v>426</v>
      </c>
      <c r="O87" t="s">
        <v>556</v>
      </c>
      <c r="P87" t="s">
        <v>557</v>
      </c>
      <c r="Q87" t="s">
        <v>427</v>
      </c>
      <c r="R87" t="s">
        <v>429</v>
      </c>
      <c r="S87" t="s">
        <v>428</v>
      </c>
      <c r="T87" t="s">
        <v>430</v>
      </c>
      <c r="V87" t="s">
        <v>489</v>
      </c>
      <c r="W87">
        <v>2</v>
      </c>
      <c r="X87" t="str">
        <f>CONCATENATE(Table70[[#This Row],[Creature]],Table70[[#This Row],[Number]])</f>
        <v>Facade2</v>
      </c>
      <c r="Y87" t="s">
        <v>506</v>
      </c>
      <c r="Z87" t="s">
        <v>519</v>
      </c>
      <c r="AA87" t="s">
        <v>3</v>
      </c>
      <c r="AB87">
        <v>13</v>
      </c>
      <c r="AE87">
        <v>4</v>
      </c>
      <c r="AF87">
        <v>8</v>
      </c>
      <c r="AG87">
        <v>0</v>
      </c>
      <c r="AL87">
        <f>((Table70[[#This Row],[Damage Dice]]/2)*Table70[[#This Row],['# Dice]])+(Table70[[#This Row],[Bonus Damage Dice]]/2)*Table70[[#This Row],[Bonus '# Dice]]+Table70[[#This Row],[Bonus Damage]]</f>
        <v>16</v>
      </c>
      <c r="AM87">
        <v>60</v>
      </c>
      <c r="AP87" t="s">
        <v>403</v>
      </c>
      <c r="AQ87">
        <v>3</v>
      </c>
      <c r="AR87" s="2" t="str">
        <f>CONCATENATE(Table100[[#This Row],[Creature]],Table100[[#This Row],[Number]])</f>
        <v>Illithilich3</v>
      </c>
      <c r="AS87" t="s">
        <v>637</v>
      </c>
      <c r="AT87" t="s">
        <v>519</v>
      </c>
      <c r="AV87">
        <v>12</v>
      </c>
      <c r="AY87">
        <v>10</v>
      </c>
      <c r="AZ87">
        <v>10</v>
      </c>
      <c r="BF87" s="2">
        <f>((Table100[[#This Row],[Damage Dice]]/2)*Table100[[#This Row],['# Dice]])+((Table100[[#This Row],[Bonus Damage Dice]]/2)*Table100[[#This Row],[Bonus '# Dice]])+Table100[[#This Row],[Bonus Damage]]</f>
        <v>50</v>
      </c>
      <c r="BG87">
        <v>5</v>
      </c>
    </row>
    <row r="88" spans="1:60" x14ac:dyDescent="0.35">
      <c r="A88" t="s">
        <v>38</v>
      </c>
      <c r="B88">
        <v>3</v>
      </c>
      <c r="C88" t="s">
        <v>4</v>
      </c>
      <c r="G88">
        <v>20</v>
      </c>
      <c r="H88" s="23">
        <v>0.05</v>
      </c>
      <c r="I88" s="47">
        <f>SUM($H$88)</f>
        <v>0.05</v>
      </c>
      <c r="J88" s="47">
        <v>0.95</v>
      </c>
      <c r="K88" s="23">
        <f>(Probability[[#This Row],[Roll]]^2-(Probability[[#This Row],[Roll]]-1)^2)/400</f>
        <v>9.7500000000000003E-2</v>
      </c>
      <c r="L88" s="47">
        <f>SUM($K$88)</f>
        <v>9.7500000000000003E-2</v>
      </c>
      <c r="M88" s="47">
        <f>SUM(K88:K108)</f>
        <v>0.99999999999999967</v>
      </c>
      <c r="N88" s="23">
        <f>(((20-Probability[[#This Row],[Roll]]+1)^2-(20-Probability[[#This Row],[Roll]])^2))/400</f>
        <v>2.5000000000000001E-3</v>
      </c>
      <c r="O88" s="47">
        <f>SUM($N$88)</f>
        <v>2.5000000000000001E-3</v>
      </c>
      <c r="P88" s="47">
        <f>SUM(N88:N108)</f>
        <v>1</v>
      </c>
      <c r="Q88" s="23">
        <f>((Probability[[#This Row],[Roll]]^3)-(Probability[[#This Row],[Roll]]-1)^3)/8000</f>
        <v>0.142625</v>
      </c>
      <c r="R88" s="23">
        <f>SUM(Probability[[#This Row],[2xAdvantage]])</f>
        <v>0.142625</v>
      </c>
      <c r="S88" s="23">
        <f>(((20-Probability[[#This Row],[Roll]]+1)^3-(20-Probability[[#This Row],[Roll]])^3))/8000</f>
        <v>1.25E-4</v>
      </c>
      <c r="T88" s="23">
        <f>SUM(Probability[[#This Row],[2xDisadvantage]])</f>
        <v>1.25E-4</v>
      </c>
      <c r="V88" t="s">
        <v>489</v>
      </c>
      <c r="W88">
        <v>3</v>
      </c>
      <c r="X88" t="str">
        <f>CONCATENATE(Table70[[#This Row],[Creature]],Table70[[#This Row],[Number]])</f>
        <v>Facade3</v>
      </c>
      <c r="Y88" t="s">
        <v>507</v>
      </c>
      <c r="Z88" t="s">
        <v>519</v>
      </c>
      <c r="AA88" t="s">
        <v>3</v>
      </c>
      <c r="AB88">
        <v>13</v>
      </c>
      <c r="AE88">
        <v>4</v>
      </c>
      <c r="AF88">
        <v>10</v>
      </c>
      <c r="AG88">
        <v>0</v>
      </c>
      <c r="AL88">
        <f>((Table70[[#This Row],[Damage Dice]]/2)*Table70[[#This Row],['# Dice]])+(Table70[[#This Row],[Bonus Damage Dice]]/2)*Table70[[#This Row],[Bonus '# Dice]]+Table70[[#This Row],[Bonus Damage]]</f>
        <v>20</v>
      </c>
      <c r="AM88">
        <v>120</v>
      </c>
      <c r="AP88" t="s">
        <v>403</v>
      </c>
      <c r="AQ88">
        <v>4</v>
      </c>
      <c r="AR88" s="2" t="str">
        <f>CONCATENATE(Table100[[#This Row],[Creature]],Table100[[#This Row],[Number]])</f>
        <v>Illithilich4</v>
      </c>
      <c r="AS88" t="s">
        <v>638</v>
      </c>
      <c r="AT88" t="s">
        <v>89</v>
      </c>
      <c r="AW88" t="s">
        <v>410</v>
      </c>
      <c r="AX88">
        <v>18</v>
      </c>
      <c r="AY88">
        <v>5</v>
      </c>
      <c r="AZ88">
        <v>8</v>
      </c>
      <c r="BA88">
        <v>5</v>
      </c>
      <c r="BF88" s="2">
        <f>((Table100[[#This Row],[Damage Dice]]/2)*Table100[[#This Row],['# Dice]])+((Table100[[#This Row],[Bonus Damage Dice]]/2)*Table100[[#This Row],[Bonus '# Dice]])+Table100[[#This Row],[Bonus Damage]]</f>
        <v>25</v>
      </c>
      <c r="BG88">
        <v>60</v>
      </c>
      <c r="BH88" t="s">
        <v>537</v>
      </c>
    </row>
    <row r="89" spans="1:60" x14ac:dyDescent="0.35">
      <c r="A89" t="s">
        <v>352</v>
      </c>
      <c r="B89">
        <v>3</v>
      </c>
      <c r="C89" t="s">
        <v>1</v>
      </c>
      <c r="G89">
        <v>19</v>
      </c>
      <c r="H89" s="23">
        <v>0.05</v>
      </c>
      <c r="I89" s="47">
        <f>SUM($H$88:$H$89)</f>
        <v>0.1</v>
      </c>
      <c r="J89" s="47">
        <f>SUM(H89:H107)</f>
        <v>0.95000000000000029</v>
      </c>
      <c r="K89" s="23">
        <f>(Probability[[#This Row],[Roll]]^2-(Probability[[#This Row],[Roll]]-1)^2)/400</f>
        <v>9.2499999999999999E-2</v>
      </c>
      <c r="L89" s="47">
        <f>SUM($K$88:$K$89)</f>
        <v>0.19</v>
      </c>
      <c r="M89" s="47">
        <f>SUM(K89:K107)</f>
        <v>0.90249999999999964</v>
      </c>
      <c r="N89" s="23">
        <f>(((20-Probability[[#This Row],[Roll]]+1)^2-(20-Probability[[#This Row],[Roll]])^2))/400</f>
        <v>7.4999999999999997E-3</v>
      </c>
      <c r="O89" s="47">
        <f>SUM($N$88:$N$89)</f>
        <v>0.01</v>
      </c>
      <c r="P89" s="47">
        <f>SUM(N89:N107)</f>
        <v>0.99750000000000005</v>
      </c>
      <c r="Q89" s="23">
        <f>((Probability[[#This Row],[Roll]]^3)-(Probability[[#This Row],[Roll]]-1)^3)/8000</f>
        <v>0.12837499999999999</v>
      </c>
      <c r="R89" s="23">
        <f>SUM($Q$106:$Q$107)</f>
        <v>1E-3</v>
      </c>
      <c r="S89" s="23">
        <f>(((20-Probability[[#This Row],[Roll]]+1)^3-(20-Probability[[#This Row],[Roll]])^3))/8000</f>
        <v>8.7500000000000002E-4</v>
      </c>
      <c r="T89" s="23">
        <f>SUM($S$106:$S$107)</f>
        <v>0.27100000000000002</v>
      </c>
      <c r="V89" t="s">
        <v>489</v>
      </c>
      <c r="W89">
        <v>4</v>
      </c>
      <c r="X89" t="str">
        <f>CONCATENATE(Table70[[#This Row],[Creature]],Table70[[#This Row],[Number]])</f>
        <v>Facade4</v>
      </c>
      <c r="Y89" t="s">
        <v>508</v>
      </c>
      <c r="Z89" t="s">
        <v>519</v>
      </c>
      <c r="AA89" t="s">
        <v>1</v>
      </c>
      <c r="AB89">
        <v>13</v>
      </c>
      <c r="AE89">
        <v>1</v>
      </c>
      <c r="AF89">
        <v>4</v>
      </c>
      <c r="AG89">
        <v>5</v>
      </c>
      <c r="AL89">
        <f>((Table70[[#This Row],[Damage Dice]]/2)*Table70[[#This Row],['# Dice]])+(Table70[[#This Row],[Bonus Damage Dice]]/2)*Table70[[#This Row],[Bonus '# Dice]]+Table70[[#This Row],[Bonus Damage]]</f>
        <v>7</v>
      </c>
      <c r="AM89">
        <v>20</v>
      </c>
      <c r="AP89" t="s">
        <v>404</v>
      </c>
      <c r="AQ89">
        <v>1</v>
      </c>
      <c r="AR89" t="str">
        <f>CONCATENATE(Table100[[#This Row],[Creature]],Table100[[#This Row],[Number]])</f>
        <v>Quaggoth1</v>
      </c>
      <c r="AS89" t="s">
        <v>542</v>
      </c>
      <c r="AT89" t="s">
        <v>519</v>
      </c>
      <c r="AV89">
        <v>5</v>
      </c>
      <c r="AY89">
        <v>1</v>
      </c>
      <c r="AZ89">
        <v>6</v>
      </c>
      <c r="BA89">
        <v>3</v>
      </c>
      <c r="BF89">
        <f>((Table100[[#This Row],[Damage Dice]]/2)*Table100[[#This Row],['# Dice]])+((Table100[[#This Row],[Bonus Damage Dice]]/2)*Table100[[#This Row],[Bonus '# Dice]])+Table100[[#This Row],[Bonus Damage]]</f>
        <v>6</v>
      </c>
      <c r="BG89">
        <v>5</v>
      </c>
    </row>
    <row r="90" spans="1:60" x14ac:dyDescent="0.35">
      <c r="A90" t="s">
        <v>470</v>
      </c>
      <c r="B90">
        <v>3</v>
      </c>
      <c r="G90">
        <v>18</v>
      </c>
      <c r="H90" s="23">
        <v>0.05</v>
      </c>
      <c r="I90" s="47">
        <f>SUM($H$88:$H$90)</f>
        <v>0.15000000000000002</v>
      </c>
      <c r="J90" s="47">
        <f>SUM(H90:H107)</f>
        <v>0.90000000000000024</v>
      </c>
      <c r="K90" s="23">
        <f>(Probability[[#This Row],[Roll]]^2-(Probability[[#This Row],[Roll]]-1)^2)/400</f>
        <v>8.7499999999999994E-2</v>
      </c>
      <c r="L90" s="47">
        <f>SUM($K$88:$K$90)</f>
        <v>0.27749999999999997</v>
      </c>
      <c r="M90" s="47">
        <f>SUM(K90:K107)</f>
        <v>0.80999999999999972</v>
      </c>
      <c r="N90" s="23">
        <f>(((20-Probability[[#This Row],[Roll]]+1)^2-(20-Probability[[#This Row],[Roll]])^2))/400</f>
        <v>1.2500000000000001E-2</v>
      </c>
      <c r="O90" s="47">
        <f>SUM($N$88:$N$90)</f>
        <v>2.2499999999999999E-2</v>
      </c>
      <c r="P90" s="47">
        <f>SUM(N90:N107)</f>
        <v>0.9900000000000001</v>
      </c>
      <c r="Q90" s="23">
        <f>((Probability[[#This Row],[Roll]]^3)-(Probability[[#This Row],[Roll]]-1)^3)/8000</f>
        <v>0.114875</v>
      </c>
      <c r="R90" s="23">
        <f>SUM($Q$105:$Q$107)</f>
        <v>3.375E-3</v>
      </c>
      <c r="S90" s="23">
        <f>(((20-Probability[[#This Row],[Roll]]+1)^3-(20-Probability[[#This Row],[Roll]])^3))/8000</f>
        <v>2.3749999999999999E-3</v>
      </c>
      <c r="T90" s="23">
        <f>SUM($S$105:$S$107)</f>
        <v>0.38587499999999997</v>
      </c>
      <c r="V90" t="s">
        <v>489</v>
      </c>
      <c r="W90">
        <v>5</v>
      </c>
      <c r="X90" t="str">
        <f>CONCATENATE(Table70[[#This Row],[Creature]],Table70[[#This Row],[Number]])</f>
        <v>Facade5</v>
      </c>
      <c r="Y90" t="s">
        <v>326</v>
      </c>
      <c r="Z90" t="s">
        <v>519</v>
      </c>
      <c r="AA90" t="s">
        <v>1</v>
      </c>
      <c r="AB90">
        <v>13</v>
      </c>
      <c r="AE90">
        <v>1</v>
      </c>
      <c r="AF90">
        <v>8</v>
      </c>
      <c r="AG90">
        <v>5</v>
      </c>
      <c r="AL90">
        <f>((Table70[[#This Row],[Damage Dice]]/2)*Table70[[#This Row],['# Dice]])+(Table70[[#This Row],[Bonus Damage Dice]]/2)*Table70[[#This Row],[Bonus '# Dice]]+Table70[[#This Row],[Bonus Damage]]</f>
        <v>9</v>
      </c>
      <c r="AM90">
        <v>5</v>
      </c>
      <c r="AP90" t="s">
        <v>404</v>
      </c>
      <c r="AQ90">
        <v>2</v>
      </c>
      <c r="AR90" s="2" t="str">
        <f>CONCATENATE(Table100[[#This Row],[Creature]],Table100[[#This Row],[Number]])</f>
        <v>Quaggoth2</v>
      </c>
      <c r="AS90" t="s">
        <v>655</v>
      </c>
      <c r="AT90" t="s">
        <v>519</v>
      </c>
      <c r="AV90">
        <v>5</v>
      </c>
      <c r="AY90">
        <v>1</v>
      </c>
      <c r="AZ90">
        <v>6</v>
      </c>
      <c r="BA90">
        <v>3</v>
      </c>
      <c r="BB90">
        <v>2</v>
      </c>
      <c r="BC90">
        <v>6</v>
      </c>
      <c r="BF90" s="2">
        <f>((Table100[[#This Row],[Damage Dice]]/2)*Table100[[#This Row],['# Dice]])+((Table100[[#This Row],[Bonus Damage Dice]]/2)*Table100[[#This Row],[Bonus '# Dice]])+Table100[[#This Row],[Bonus Damage]]</f>
        <v>12</v>
      </c>
      <c r="BG90">
        <v>5</v>
      </c>
    </row>
    <row r="91" spans="1:60" x14ac:dyDescent="0.35">
      <c r="A91" t="s">
        <v>218</v>
      </c>
      <c r="B91">
        <v>3</v>
      </c>
      <c r="G91">
        <v>17</v>
      </c>
      <c r="H91" s="23">
        <v>0.05</v>
      </c>
      <c r="I91" s="47">
        <f>SUM(H88:H91)</f>
        <v>0.2</v>
      </c>
      <c r="J91" s="47">
        <f>SUM(H91:H107)</f>
        <v>0.8500000000000002</v>
      </c>
      <c r="K91" s="23">
        <f>(Probability[[#This Row],[Roll]]^2-(Probability[[#This Row],[Roll]]-1)^2)/400</f>
        <v>8.2500000000000004E-2</v>
      </c>
      <c r="L91" s="47">
        <f>SUM(K88:K91)</f>
        <v>0.36</v>
      </c>
      <c r="M91" s="47">
        <f>SUM(K91:K107)</f>
        <v>0.7224999999999997</v>
      </c>
      <c r="N91" s="23">
        <f>(((20-Probability[[#This Row],[Roll]]+1)^2-(20-Probability[[#This Row],[Roll]])^2))/400</f>
        <v>1.7500000000000002E-2</v>
      </c>
      <c r="O91" s="47">
        <f>SUM(N88:N91)</f>
        <v>0.04</v>
      </c>
      <c r="P91" s="47">
        <f>SUM(N91:N107)</f>
        <v>0.97750000000000015</v>
      </c>
      <c r="Q91" s="23">
        <f>((Probability[[#This Row],[Roll]]^3)-(Probability[[#This Row],[Roll]]-1)^3)/8000</f>
        <v>0.10212499999999999</v>
      </c>
      <c r="R91" s="23">
        <f>SUM($Q$104:$Q$107)</f>
        <v>8.0000000000000002E-3</v>
      </c>
      <c r="S91" s="23">
        <f>(((20-Probability[[#This Row],[Roll]]+1)^3-(20-Probability[[#This Row],[Roll]])^3))/8000</f>
        <v>4.6249999999999998E-3</v>
      </c>
      <c r="T91" s="23">
        <f>SUM($S$104:$S$107)</f>
        <v>0.48799999999999999</v>
      </c>
      <c r="V91" t="s">
        <v>489</v>
      </c>
      <c r="W91">
        <v>6</v>
      </c>
      <c r="X91" s="2" t="str">
        <f>CONCATENATE(Table70[[#This Row],[Creature]],Table70[[#This Row],[Number]])</f>
        <v>Facade6</v>
      </c>
      <c r="Y91" t="s">
        <v>136</v>
      </c>
      <c r="Z91" t="s">
        <v>89</v>
      </c>
      <c r="AC91" t="s">
        <v>415</v>
      </c>
      <c r="AD91">
        <v>21</v>
      </c>
      <c r="AL91">
        <f>((Table70[[#This Row],[Damage Dice]]/2)*Table70[[#This Row],['# Dice]])+(Table70[[#This Row],[Bonus Damage Dice]]/2)*Table70[[#This Row],[Bonus '# Dice]]+Table70[[#This Row],[Bonus Damage]]</f>
        <v>0</v>
      </c>
      <c r="AM91">
        <v>30</v>
      </c>
      <c r="AP91" t="s">
        <v>405</v>
      </c>
      <c r="AQ91">
        <v>1</v>
      </c>
      <c r="AR91" s="2" t="str">
        <f>CONCATENATE(Table100[[#This Row],[Creature]],Table100[[#This Row],[Number]])</f>
        <v>Quaggoth Thonot1</v>
      </c>
      <c r="AS91" t="s">
        <v>542</v>
      </c>
      <c r="AT91" t="s">
        <v>519</v>
      </c>
      <c r="AV91">
        <v>5</v>
      </c>
      <c r="AY91">
        <v>1</v>
      </c>
      <c r="AZ91">
        <v>6</v>
      </c>
      <c r="BA91">
        <v>3</v>
      </c>
      <c r="BF91" s="2">
        <f>((Table100[[#This Row],[Damage Dice]]/2)*Table100[[#This Row],['# Dice]])+((Table100[[#This Row],[Bonus Damage Dice]]/2)*Table100[[#This Row],[Bonus '# Dice]])+Table100[[#This Row],[Bonus Damage]]</f>
        <v>6</v>
      </c>
      <c r="BG91">
        <v>5</v>
      </c>
    </row>
    <row r="92" spans="1:60" x14ac:dyDescent="0.35">
      <c r="A92" t="s">
        <v>438</v>
      </c>
      <c r="B92">
        <v>4</v>
      </c>
      <c r="G92">
        <v>16</v>
      </c>
      <c r="H92" s="23">
        <v>0.05</v>
      </c>
      <c r="I92" s="47">
        <f>SUM(H88:H92)</f>
        <v>0.25</v>
      </c>
      <c r="J92" s="47">
        <f>SUM(H92:H107)</f>
        <v>0.80000000000000016</v>
      </c>
      <c r="K92" s="23">
        <f>(Probability[[#This Row],[Roll]]^2-(Probability[[#This Row],[Roll]]-1)^2)/400</f>
        <v>7.7499999999999999E-2</v>
      </c>
      <c r="L92" s="47">
        <f>SUM(K88:K92)</f>
        <v>0.4375</v>
      </c>
      <c r="M92" s="47">
        <f>SUM(K92:K107)</f>
        <v>0.63999999999999968</v>
      </c>
      <c r="N92" s="23">
        <f>(((20-Probability[[#This Row],[Roll]]+1)^2-(20-Probability[[#This Row],[Roll]])^2))/400</f>
        <v>2.2499999999999999E-2</v>
      </c>
      <c r="O92" s="47">
        <f>SUM(N88:N92)</f>
        <v>6.25E-2</v>
      </c>
      <c r="P92" s="47">
        <f>SUM(N92:N107)</f>
        <v>0.96000000000000008</v>
      </c>
      <c r="Q92" s="23">
        <f>((Probability[[#This Row],[Roll]]^3)-(Probability[[#This Row],[Roll]]-1)^3)/8000</f>
        <v>9.0124999999999997E-2</v>
      </c>
      <c r="R92" s="23">
        <f>SUM($Q$103:$Q$107)</f>
        <v>1.5625E-2</v>
      </c>
      <c r="S92" s="23">
        <f>(((20-Probability[[#This Row],[Roll]]+1)^3-(20-Probability[[#This Row],[Roll]])^3))/8000</f>
        <v>7.6249999999999998E-3</v>
      </c>
      <c r="T92" s="23">
        <f>SUM($S$103:$S$107)</f>
        <v>0.578125</v>
      </c>
      <c r="V92" t="s">
        <v>489</v>
      </c>
      <c r="W92">
        <v>7</v>
      </c>
      <c r="X92" t="str">
        <f>CONCATENATE(Table70[[#This Row],[Creature]],Table70[[#This Row],[Number]])</f>
        <v>Facade7</v>
      </c>
      <c r="Y92" t="s">
        <v>518</v>
      </c>
      <c r="Z92" t="s">
        <v>89</v>
      </c>
      <c r="AC92" t="s">
        <v>410</v>
      </c>
      <c r="AD92">
        <v>21</v>
      </c>
      <c r="AE92">
        <v>4</v>
      </c>
      <c r="AF92">
        <v>6</v>
      </c>
      <c r="AG92">
        <v>0</v>
      </c>
      <c r="AL92">
        <f>((Table70[[#This Row],[Damage Dice]]/2)*Table70[[#This Row],['# Dice]])+(Table70[[#This Row],[Bonus Damage Dice]]/2)*Table70[[#This Row],[Bonus '# Dice]]+Table70[[#This Row],[Bonus Damage]]</f>
        <v>12</v>
      </c>
      <c r="AM92">
        <v>60</v>
      </c>
      <c r="AP92" t="s">
        <v>405</v>
      </c>
      <c r="AQ92">
        <v>2</v>
      </c>
      <c r="AR92" t="str">
        <f>CONCATENATE(Table100[[#This Row],[Creature]],Table100[[#This Row],[Number]])</f>
        <v>Quaggoth Thonot2</v>
      </c>
      <c r="AS92" t="s">
        <v>655</v>
      </c>
      <c r="AT92" t="s">
        <v>519</v>
      </c>
      <c r="AV92">
        <v>5</v>
      </c>
      <c r="AY92">
        <v>1</v>
      </c>
      <c r="AZ92">
        <v>6</v>
      </c>
      <c r="BA92">
        <v>3</v>
      </c>
      <c r="BB92">
        <v>2</v>
      </c>
      <c r="BC92">
        <v>6</v>
      </c>
      <c r="BF92">
        <f>((Table100[[#This Row],[Damage Dice]]/2)*Table100[[#This Row],['# Dice]])+((Table100[[#This Row],[Bonus Damage Dice]]/2)*Table100[[#This Row],[Bonus '# Dice]])+Table100[[#This Row],[Bonus Damage]]</f>
        <v>12</v>
      </c>
      <c r="BG92">
        <v>5</v>
      </c>
    </row>
    <row r="93" spans="1:60" x14ac:dyDescent="0.35">
      <c r="A93" t="s">
        <v>439</v>
      </c>
      <c r="B93">
        <v>4</v>
      </c>
      <c r="G93">
        <v>15</v>
      </c>
      <c r="H93" s="23">
        <v>0.05</v>
      </c>
      <c r="I93" s="47">
        <f>SUM(H88:H93)</f>
        <v>0.3</v>
      </c>
      <c r="J93" s="47">
        <f>SUM(H93:H107)</f>
        <v>0.75000000000000011</v>
      </c>
      <c r="K93" s="23">
        <f>(Probability[[#This Row],[Roll]]^2-(Probability[[#This Row],[Roll]]-1)^2)/400</f>
        <v>7.2499999999999995E-2</v>
      </c>
      <c r="L93" s="47">
        <f>SUM(K88:K93)</f>
        <v>0.51</v>
      </c>
      <c r="M93" s="47">
        <f>SUM(K93:K107)</f>
        <v>0.56249999999999978</v>
      </c>
      <c r="N93" s="23">
        <f>(((20-Probability[[#This Row],[Roll]]+1)^2-(20-Probability[[#This Row],[Roll]])^2))/400</f>
        <v>2.75E-2</v>
      </c>
      <c r="O93" s="47">
        <f>SUM(N88:N93)</f>
        <v>0.09</v>
      </c>
      <c r="P93" s="47">
        <f>SUM(N93:N107)</f>
        <v>0.93750000000000011</v>
      </c>
      <c r="Q93" s="23">
        <f>((Probability[[#This Row],[Roll]]^3)-(Probability[[#This Row],[Roll]]-1)^3)/8000</f>
        <v>7.8875000000000001E-2</v>
      </c>
      <c r="R93" s="23">
        <f>SUM($Q$102:$Q$107)</f>
        <v>2.7E-2</v>
      </c>
      <c r="S93" s="23">
        <f>(((20-Probability[[#This Row],[Roll]]+1)^3-(20-Probability[[#This Row],[Roll]])^3))/8000</f>
        <v>1.1375E-2</v>
      </c>
      <c r="T93" s="23">
        <f>SUM($S$102:$S$107)</f>
        <v>0.65699999999999992</v>
      </c>
      <c r="V93" t="s">
        <v>57</v>
      </c>
      <c r="X93" t="str">
        <f>CONCATENATE(Table70[[#This Row],[Creature]],Table70[[#This Row],[Number]])</f>
        <v>Gallows Speaker</v>
      </c>
      <c r="AL93">
        <f>((Table70[[#This Row],[Damage Dice]]/2)*Table70[[#This Row],['# Dice]])+(Table70[[#This Row],[Bonus Damage Dice]]/2)*Table70[[#This Row],[Bonus '# Dice]]+Table70[[#This Row],[Bonus Damage]]</f>
        <v>0</v>
      </c>
      <c r="AP93" t="s">
        <v>406</v>
      </c>
      <c r="AR93" t="str">
        <f>CONCATENATE(Table100[[#This Row],[Creature]],Table100[[#This Row],[Number]])</f>
        <v>Grimlock</v>
      </c>
      <c r="BF93">
        <f>((Table100[[#This Row],[Damage Dice]]/2)*Table100[[#This Row],['# Dice]])+((Table100[[#This Row],[Bonus Damage Dice]]/2)*Table100[[#This Row],[Bonus '# Dice]])+Table100[[#This Row],[Bonus Damage]]</f>
        <v>0</v>
      </c>
    </row>
    <row r="94" spans="1:60" x14ac:dyDescent="0.35">
      <c r="A94" t="s">
        <v>440</v>
      </c>
      <c r="B94">
        <v>4</v>
      </c>
      <c r="G94">
        <v>14</v>
      </c>
      <c r="H94" s="23">
        <v>0.05</v>
      </c>
      <c r="I94" s="47">
        <f>SUM(H88:H94)</f>
        <v>0.35</v>
      </c>
      <c r="J94" s="47">
        <f>SUM(H94:H107)</f>
        <v>0.70000000000000007</v>
      </c>
      <c r="K94" s="23">
        <f>(Probability[[#This Row],[Roll]]^2-(Probability[[#This Row],[Roll]]-1)^2)/400</f>
        <v>6.7500000000000004E-2</v>
      </c>
      <c r="L94" s="47">
        <f>SUM(K88:K94)</f>
        <v>0.57750000000000001</v>
      </c>
      <c r="M94" s="47">
        <f>SUM(K94:K107)</f>
        <v>0.49</v>
      </c>
      <c r="N94" s="23">
        <f>(((20-Probability[[#This Row],[Roll]]+1)^2-(20-Probability[[#This Row],[Roll]])^2))/400</f>
        <v>3.2500000000000001E-2</v>
      </c>
      <c r="O94" s="47">
        <f>SUM(N88:N94)</f>
        <v>0.1225</v>
      </c>
      <c r="P94" s="47">
        <f>SUM(N94:N107)</f>
        <v>0.91000000000000014</v>
      </c>
      <c r="Q94" s="23">
        <f>((Probability[[#This Row],[Roll]]^3)-(Probability[[#This Row],[Roll]]-1)^3)/8000</f>
        <v>6.8375000000000005E-2</v>
      </c>
      <c r="R94" s="23">
        <f>SUM($Q$101:$Q$107)</f>
        <v>4.2875000000000003E-2</v>
      </c>
      <c r="S94" s="23">
        <f>(((20-Probability[[#This Row],[Roll]]+1)^3-(20-Probability[[#This Row],[Roll]])^3))/8000</f>
        <v>1.5875E-2</v>
      </c>
      <c r="T94" s="23">
        <f>SUM($S$101:$S$107)</f>
        <v>0.72537499999999999</v>
      </c>
      <c r="V94" t="s">
        <v>58</v>
      </c>
      <c r="W94">
        <v>1</v>
      </c>
      <c r="X94" t="str">
        <f>CONCATENATE(Table70[[#This Row],[Creature]],Table70[[#This Row],[Number]])</f>
        <v>Ghost1</v>
      </c>
      <c r="Y94" t="s">
        <v>288</v>
      </c>
      <c r="Z94" t="s">
        <v>519</v>
      </c>
      <c r="AA94" t="s">
        <v>5</v>
      </c>
      <c r="AB94">
        <v>10</v>
      </c>
      <c r="AE94">
        <v>14</v>
      </c>
      <c r="AF94">
        <v>6</v>
      </c>
      <c r="AG94">
        <v>6</v>
      </c>
      <c r="AL94">
        <f>((Table70[[#This Row],[Damage Dice]]/2)*Table70[[#This Row],['# Dice]])+(Table70[[#This Row],[Bonus Damage Dice]]/2)*Table70[[#This Row],[Bonus '# Dice]]+Table70[[#This Row],[Bonus Damage]]</f>
        <v>48</v>
      </c>
      <c r="AM94">
        <v>5</v>
      </c>
      <c r="AP94" t="s">
        <v>407</v>
      </c>
      <c r="AR94" t="str">
        <f>CONCATENATE(Table100[[#This Row],[Creature]],Table100[[#This Row],[Number]])</f>
        <v>Mind Flayer Psion</v>
      </c>
      <c r="BF94">
        <f>((Table100[[#This Row],[Damage Dice]]/2)*Table100[[#This Row],['# Dice]])+((Table100[[#This Row],[Bonus Damage Dice]]/2)*Table100[[#This Row],[Bonus '# Dice]])+Table100[[#This Row],[Bonus Damage]]</f>
        <v>0</v>
      </c>
    </row>
    <row r="95" spans="1:60" x14ac:dyDescent="0.35">
      <c r="A95" t="s">
        <v>444</v>
      </c>
      <c r="B95">
        <v>4</v>
      </c>
      <c r="G95">
        <v>13</v>
      </c>
      <c r="H95" s="23">
        <v>0.05</v>
      </c>
      <c r="I95" s="47">
        <f>SUM(H88:H95)</f>
        <v>0.39999999999999997</v>
      </c>
      <c r="J95" s="47">
        <f>SUM(H95:H107)</f>
        <v>0.65</v>
      </c>
      <c r="K95" s="23">
        <f>(Probability[[#This Row],[Roll]]^2-(Probability[[#This Row],[Roll]]-1)^2)/400</f>
        <v>6.25E-2</v>
      </c>
      <c r="L95" s="47">
        <f>SUM(K88:K95)</f>
        <v>0.64</v>
      </c>
      <c r="M95" s="47">
        <f>SUM(K95:K107)</f>
        <v>0.42249999999999999</v>
      </c>
      <c r="N95" s="23">
        <f>(((20-Probability[[#This Row],[Roll]]+1)^2-(20-Probability[[#This Row],[Roll]])^2))/400</f>
        <v>3.7499999999999999E-2</v>
      </c>
      <c r="O95" s="47">
        <f>SUM(N88:N95)</f>
        <v>0.16</v>
      </c>
      <c r="P95" s="47">
        <f>SUM(N95:N107)</f>
        <v>0.87750000000000006</v>
      </c>
      <c r="Q95" s="23">
        <f>((Probability[[#This Row],[Roll]]^3)-(Probability[[#This Row],[Roll]]-1)^3)/8000</f>
        <v>5.8624999999999997E-2</v>
      </c>
      <c r="R95" s="23">
        <f>SUM($Q$100:$Q$107)</f>
        <v>6.4000000000000001E-2</v>
      </c>
      <c r="S95" s="23">
        <f>(((20-Probability[[#This Row],[Roll]]+1)^3-(20-Probability[[#This Row],[Roll]])^3))/8000</f>
        <v>2.1125000000000001E-2</v>
      </c>
      <c r="T95" s="23">
        <f>SUM($S$100:$S$107)</f>
        <v>0.78399999999999992</v>
      </c>
      <c r="V95" t="s">
        <v>58</v>
      </c>
      <c r="W95">
        <v>2</v>
      </c>
      <c r="X95" s="2" t="str">
        <f>CONCATENATE(Table70[[#This Row],[Creature]],Table70[[#This Row],[Number]])</f>
        <v>Ghost2</v>
      </c>
      <c r="Y95" t="s">
        <v>291</v>
      </c>
      <c r="Z95" t="s">
        <v>89</v>
      </c>
      <c r="AC95" t="s">
        <v>412</v>
      </c>
      <c r="AD95">
        <v>20</v>
      </c>
      <c r="AL95">
        <f>((Table70[[#This Row],[Damage Dice]]/2)*Table70[[#This Row],['# Dice]])+(Table70[[#This Row],[Bonus Damage Dice]]/2)*Table70[[#This Row],[Bonus '# Dice]]+Table70[[#This Row],[Bonus Damage]]</f>
        <v>0</v>
      </c>
      <c r="AN95" t="s">
        <v>364</v>
      </c>
      <c r="AP95" t="s">
        <v>408</v>
      </c>
      <c r="AR95" t="str">
        <f>CONCATENATE(Table100[[#This Row],[Creature]],Table100[[#This Row],[Number]])</f>
        <v>Mind Flayer Arcanist</v>
      </c>
      <c r="BF95">
        <f>((Table100[[#This Row],[Damage Dice]]/2)*Table100[[#This Row],['# Dice]])+((Table100[[#This Row],[Bonus Damage Dice]]/2)*Table100[[#This Row],[Bonus '# Dice]])+Table100[[#This Row],[Bonus Damage]]</f>
        <v>0</v>
      </c>
    </row>
    <row r="96" spans="1:60" x14ac:dyDescent="0.35">
      <c r="A96" t="s">
        <v>31</v>
      </c>
      <c r="B96">
        <v>4</v>
      </c>
      <c r="C96" t="s">
        <v>4</v>
      </c>
      <c r="G96">
        <v>12</v>
      </c>
      <c r="H96" s="23">
        <v>0.05</v>
      </c>
      <c r="I96" s="47">
        <f>SUM(H88:H96)</f>
        <v>0.44999999999999996</v>
      </c>
      <c r="J96" s="47">
        <f>SUM(H96:H107)</f>
        <v>0.6</v>
      </c>
      <c r="K96" s="23">
        <f>(Probability[[#This Row],[Roll]]^2-(Probability[[#This Row],[Roll]]-1)^2)/400</f>
        <v>5.7500000000000002E-2</v>
      </c>
      <c r="L96" s="47">
        <f>SUM(K88:K96)</f>
        <v>0.69750000000000001</v>
      </c>
      <c r="M96" s="47">
        <f>SUM(K96:K107)</f>
        <v>0.3600000000000001</v>
      </c>
      <c r="N96" s="23">
        <f>(((20-Probability[[#This Row],[Roll]]+1)^2-(20-Probability[[#This Row],[Roll]])^2))/400</f>
        <v>4.2500000000000003E-2</v>
      </c>
      <c r="O96" s="47">
        <f>SUM(N88:N96)</f>
        <v>0.20250000000000001</v>
      </c>
      <c r="P96" s="47">
        <f>SUM(N96:N107)</f>
        <v>0.84000000000000008</v>
      </c>
      <c r="Q96" s="23">
        <f>((Probability[[#This Row],[Roll]]^3)-(Probability[[#This Row],[Roll]]-1)^3)/8000</f>
        <v>4.9625000000000002E-2</v>
      </c>
      <c r="R96" s="23">
        <f>SUM($Q$99:$Q$107)</f>
        <v>9.1125000000000012E-2</v>
      </c>
      <c r="S96" s="23">
        <f>(((20-Probability[[#This Row],[Roll]]+1)^3-(20-Probability[[#This Row],[Roll]])^3))/8000</f>
        <v>2.7125E-2</v>
      </c>
      <c r="T96" s="23">
        <f>SUM($S$99:$S$107)</f>
        <v>0.83362499999999995</v>
      </c>
      <c r="V96" t="s">
        <v>58</v>
      </c>
      <c r="W96">
        <v>3</v>
      </c>
      <c r="X96" s="2" t="str">
        <f>CONCATENATE(Table70[[#This Row],[Creature]],Table70[[#This Row],[Number]])</f>
        <v>Ghost3</v>
      </c>
      <c r="Y96" t="s">
        <v>136</v>
      </c>
      <c r="Z96" t="s">
        <v>89</v>
      </c>
      <c r="AC96" t="s">
        <v>415</v>
      </c>
      <c r="AD96">
        <v>21</v>
      </c>
      <c r="AL96">
        <f>((Table70[[#This Row],[Damage Dice]]/2)*Table70[[#This Row],['# Dice]])+(Table70[[#This Row],[Bonus Damage Dice]]/2)*Table70[[#This Row],[Bonus '# Dice]]+Table70[[#This Row],[Bonus Damage]]</f>
        <v>0</v>
      </c>
      <c r="AM96">
        <v>30</v>
      </c>
      <c r="AP96" t="s">
        <v>409</v>
      </c>
      <c r="AR96" t="str">
        <f>CONCATENATE(Table100[[#This Row],[Creature]],Table100[[#This Row],[Number]])</f>
        <v>Vampiric Mind Flayer</v>
      </c>
      <c r="BF96">
        <f>((Table100[[#This Row],[Damage Dice]]/2)*Table100[[#This Row],['# Dice]])+((Table100[[#This Row],[Bonus Damage Dice]]/2)*Table100[[#This Row],[Bonus '# Dice]])+Table100[[#This Row],[Bonus Damage]]</f>
        <v>0</v>
      </c>
    </row>
    <row r="97" spans="1:58" x14ac:dyDescent="0.35">
      <c r="A97" t="s">
        <v>456</v>
      </c>
      <c r="B97">
        <v>4</v>
      </c>
      <c r="G97">
        <v>11</v>
      </c>
      <c r="H97" s="23">
        <v>0.05</v>
      </c>
      <c r="I97" s="47">
        <f>SUM(H88:H97)</f>
        <v>0.49999999999999994</v>
      </c>
      <c r="J97" s="47">
        <f>SUM(H97:H107)</f>
        <v>0.54999999999999993</v>
      </c>
      <c r="K97" s="23">
        <f>(Probability[[#This Row],[Roll]]^2-(Probability[[#This Row],[Roll]]-1)^2)/400</f>
        <v>5.2499999999999998E-2</v>
      </c>
      <c r="L97" s="47">
        <f>SUM(K88:K97)</f>
        <v>0.75</v>
      </c>
      <c r="M97" s="47">
        <f>SUM(K97:K107)</f>
        <v>0.30250000000000005</v>
      </c>
      <c r="N97" s="23">
        <f>(((20-Probability[[#This Row],[Roll]]+1)^2-(20-Probability[[#This Row],[Roll]])^2))/400</f>
        <v>4.7500000000000001E-2</v>
      </c>
      <c r="O97" s="47">
        <f>SUM(N88:N97)</f>
        <v>0.25</v>
      </c>
      <c r="P97" s="47">
        <f>SUM(N97:N107)</f>
        <v>0.7975000000000001</v>
      </c>
      <c r="Q97" s="23">
        <f>((Probability[[#This Row],[Roll]]^3)-(Probability[[#This Row],[Roll]]-1)^3)/8000</f>
        <v>4.1375000000000002E-2</v>
      </c>
      <c r="R97" s="23">
        <f>SUM($Q$98:$Q$107)</f>
        <v>0.125</v>
      </c>
      <c r="S97" s="23">
        <f>(((20-Probability[[#This Row],[Roll]]+1)^3-(20-Probability[[#This Row],[Roll]])^3))/8000</f>
        <v>3.3875000000000002E-2</v>
      </c>
      <c r="T97" s="23">
        <f>SUM($S$98:$S$107)</f>
        <v>0.87500000000000011</v>
      </c>
      <c r="V97" t="s">
        <v>299</v>
      </c>
      <c r="W97">
        <v>1</v>
      </c>
      <c r="X97" t="str">
        <f>CONCATENATE(Table70[[#This Row],[Creature]],Table70[[#This Row],[Number]])</f>
        <v>Gloomweaver1</v>
      </c>
      <c r="Y97" t="s">
        <v>540</v>
      </c>
      <c r="Z97" t="s">
        <v>519</v>
      </c>
      <c r="AA97" t="s">
        <v>1</v>
      </c>
      <c r="AB97">
        <v>12</v>
      </c>
      <c r="AE97">
        <v>1</v>
      </c>
      <c r="AF97">
        <v>8</v>
      </c>
      <c r="AG97">
        <v>4</v>
      </c>
      <c r="AH97">
        <v>4</v>
      </c>
      <c r="AI97">
        <v>12</v>
      </c>
      <c r="AL97">
        <f>((Table70[[#This Row],[Damage Dice]]/2)*Table70[[#This Row],['# Dice]])+(Table70[[#This Row],[Bonus Damage Dice]]/2)*Table70[[#This Row],[Bonus '# Dice]]+Table70[[#This Row],[Bonus Damage]]</f>
        <v>32</v>
      </c>
      <c r="AM97">
        <v>5</v>
      </c>
      <c r="AP97" t="s">
        <v>601</v>
      </c>
      <c r="AR97" t="str">
        <f>CONCATENATE(Table100[[#This Row],[Creature]],Table100[[#This Row],[Number]])</f>
        <v>Beholder</v>
      </c>
      <c r="BF97">
        <f>((Table100[[#This Row],[Damage Dice]]/2)*Table100[[#This Row],['# Dice]])+((Table100[[#This Row],[Bonus Damage Dice]]/2)*Table100[[#This Row],[Bonus '# Dice]])+Table100[[#This Row],[Bonus Damage]]</f>
        <v>0</v>
      </c>
    </row>
    <row r="98" spans="1:58" x14ac:dyDescent="0.35">
      <c r="A98" t="s">
        <v>29</v>
      </c>
      <c r="B98">
        <v>4</v>
      </c>
      <c r="G98">
        <v>10</v>
      </c>
      <c r="H98" s="23">
        <v>0.05</v>
      </c>
      <c r="I98" s="47">
        <f>SUM(H88:H98)</f>
        <v>0.54999999999999993</v>
      </c>
      <c r="J98" s="47">
        <f>SUM(H98:H107)</f>
        <v>0.49999999999999994</v>
      </c>
      <c r="K98" s="23">
        <f>(Probability[[#This Row],[Roll]]^2-(Probability[[#This Row],[Roll]]-1)^2)/400</f>
        <v>4.7500000000000001E-2</v>
      </c>
      <c r="L98" s="47">
        <f>SUM(K88:K98)</f>
        <v>0.79749999999999999</v>
      </c>
      <c r="M98" s="47">
        <f>SUM(K98:K107)</f>
        <v>0.25</v>
      </c>
      <c r="N98" s="23">
        <f>(((20-Probability[[#This Row],[Roll]]+1)^2-(20-Probability[[#This Row],[Roll]])^2))/400</f>
        <v>5.2499999999999998E-2</v>
      </c>
      <c r="O98" s="47">
        <f>SUM(N88:N98)</f>
        <v>0.30249999999999999</v>
      </c>
      <c r="P98" s="47">
        <f>SUM(N98:N107)</f>
        <v>0.75000000000000011</v>
      </c>
      <c r="Q98" s="23">
        <f>((Probability[[#This Row],[Roll]]^3)-(Probability[[#This Row],[Roll]]-1)^3)/8000</f>
        <v>3.3875000000000002E-2</v>
      </c>
      <c r="R98" s="23">
        <f>SUM($Q$97:$Q$107)</f>
        <v>0.16637499999999997</v>
      </c>
      <c r="S98" s="23">
        <f>(((20-Probability[[#This Row],[Roll]]+1)^3-(20-Probability[[#This Row],[Roll]])^3))/8000</f>
        <v>4.1375000000000002E-2</v>
      </c>
      <c r="T98" s="23">
        <f>SUM($S$97:$S$107)</f>
        <v>0.90887499999999999</v>
      </c>
      <c r="V98" t="s">
        <v>299</v>
      </c>
      <c r="W98">
        <v>2</v>
      </c>
      <c r="X98" s="2" t="str">
        <f>CONCATENATE(Table70[[#This Row],[Creature]],Table70[[#This Row],[Number]])</f>
        <v>Gloomweaver2</v>
      </c>
      <c r="Y98" t="s">
        <v>136</v>
      </c>
      <c r="Z98" t="s">
        <v>89</v>
      </c>
      <c r="AC98" t="s">
        <v>415</v>
      </c>
      <c r="AD98">
        <v>21</v>
      </c>
      <c r="AL98">
        <f>((Table70[[#This Row],[Damage Dice]]/2)*Table70[[#This Row],['# Dice]])+(Table70[[#This Row],[Bonus Damage Dice]]/2)*Table70[[#This Row],[Bonus '# Dice]]+Table70[[#This Row],[Bonus Damage]]</f>
        <v>0</v>
      </c>
      <c r="AM98">
        <v>30</v>
      </c>
      <c r="AP98" t="s">
        <v>63</v>
      </c>
      <c r="AQ98">
        <v>1</v>
      </c>
      <c r="AR98" t="str">
        <f>CONCATENATE(Table100[[#This Row],[Creature]],Table100[[#This Row],[Number]])</f>
        <v>Rakshasa1</v>
      </c>
      <c r="AS98" t="s">
        <v>542</v>
      </c>
      <c r="AT98" t="s">
        <v>519</v>
      </c>
      <c r="AV98">
        <v>7</v>
      </c>
      <c r="AY98">
        <v>2</v>
      </c>
      <c r="AZ98">
        <v>6</v>
      </c>
      <c r="BA98">
        <v>2</v>
      </c>
      <c r="BF98">
        <f>((Table100[[#This Row],[Damage Dice]]/2)*Table100[[#This Row],['# Dice]])+((Table100[[#This Row],[Bonus Damage Dice]]/2)*Table100[[#This Row],[Bonus '# Dice]])+Table100[[#This Row],[Bonus Damage]]</f>
        <v>8</v>
      </c>
    </row>
    <row r="99" spans="1:58" x14ac:dyDescent="0.35">
      <c r="A99" t="s">
        <v>467</v>
      </c>
      <c r="B99">
        <v>4</v>
      </c>
      <c r="C99" t="s">
        <v>2</v>
      </c>
      <c r="G99">
        <v>9</v>
      </c>
      <c r="H99" s="23">
        <v>0.05</v>
      </c>
      <c r="I99" s="47">
        <f>SUM(H88:H99)</f>
        <v>0.6</v>
      </c>
      <c r="J99" s="47">
        <f>SUM(H99:H107)</f>
        <v>0.44999999999999996</v>
      </c>
      <c r="K99" s="23">
        <f>(Probability[[#This Row],[Roll]]^2-(Probability[[#This Row],[Roll]]-1)^2)/400</f>
        <v>4.2500000000000003E-2</v>
      </c>
      <c r="L99" s="47">
        <f>SUM(K88:K99)</f>
        <v>0.84</v>
      </c>
      <c r="M99" s="47">
        <f>SUM(K99:K107)</f>
        <v>0.20250000000000001</v>
      </c>
      <c r="N99" s="23">
        <f>(((20-Probability[[#This Row],[Roll]]+1)^2-(20-Probability[[#This Row],[Roll]])^2))/400</f>
        <v>5.7500000000000002E-2</v>
      </c>
      <c r="O99" s="47">
        <f>SUM(N88:N99)</f>
        <v>0.36</v>
      </c>
      <c r="P99" s="47">
        <f>SUM(N99:N107)</f>
        <v>0.69750000000000012</v>
      </c>
      <c r="Q99" s="23">
        <f>((Probability[[#This Row],[Roll]]^3)-(Probability[[#This Row],[Roll]]-1)^3)/8000</f>
        <v>2.7125E-2</v>
      </c>
      <c r="R99" s="23">
        <f>SUM($Q$96:$Q$107)</f>
        <v>0.21599999999999994</v>
      </c>
      <c r="S99" s="23">
        <f>(((20-Probability[[#This Row],[Roll]]+1)^3-(20-Probability[[#This Row],[Roll]])^3))/8000</f>
        <v>4.9625000000000002E-2</v>
      </c>
      <c r="T99" s="23">
        <f>SUM($S$96:$S$107)</f>
        <v>0.93600000000000005</v>
      </c>
      <c r="V99" t="s">
        <v>60</v>
      </c>
      <c r="W99">
        <v>1</v>
      </c>
      <c r="X99" t="str">
        <f>CONCATENATE(Table70[[#This Row],[Creature]],Table70[[#This Row],[Number]])</f>
        <v>Ki-rin1</v>
      </c>
      <c r="Y99" t="s">
        <v>315</v>
      </c>
      <c r="Z99" t="s">
        <v>519</v>
      </c>
      <c r="AA99" t="s">
        <v>0</v>
      </c>
      <c r="AB99">
        <f>VLOOKUP(Table70[[#This Row],[Move Name]],Table49[],2,FALSE)</f>
        <v>13</v>
      </c>
      <c r="AE99">
        <f>VLOOKUP(Table70[[#This Row],[Move Name]],Table49[],3,FALSE)</f>
        <v>2</v>
      </c>
      <c r="AF99">
        <f>VLOOKUP(Table70[[#This Row],[Move Name]],Table49[],4,FALSE)</f>
        <v>4</v>
      </c>
      <c r="AG99">
        <f>VLOOKUP(Table70[[#This Row],[Move Name]],Table49[],5,FALSE)</f>
        <v>5</v>
      </c>
      <c r="AL99">
        <f>((Table70[[#This Row],[Damage Dice]]/2)*Table70[[#This Row],['# Dice]])+(Table70[[#This Row],[Bonus Damage Dice]]/2)*Table70[[#This Row],[Bonus '# Dice]]+Table70[[#This Row],[Bonus Damage]]</f>
        <v>9</v>
      </c>
      <c r="AP99" t="s">
        <v>63</v>
      </c>
      <c r="AQ99">
        <v>2</v>
      </c>
      <c r="AR99" s="2" t="str">
        <f>CONCATENATE(Table100[[#This Row],[Creature]],Table100[[#This Row],[Number]])</f>
        <v>Rakshasa2</v>
      </c>
      <c r="AS99" t="s">
        <v>475</v>
      </c>
      <c r="AT99" t="s">
        <v>89</v>
      </c>
      <c r="AW99" t="s">
        <v>412</v>
      </c>
      <c r="AX99">
        <v>18</v>
      </c>
      <c r="BF99" s="2">
        <f>((Table100[[#This Row],[Damage Dice]]/2)*Table100[[#This Row],['# Dice]])+((Table100[[#This Row],[Bonus Damage Dice]]/2)*Table100[[#This Row],[Bonus '# Dice]])+Table100[[#This Row],[Bonus Damage]]</f>
        <v>0</v>
      </c>
    </row>
    <row r="100" spans="1:58" x14ac:dyDescent="0.35">
      <c r="A100" t="s">
        <v>32</v>
      </c>
      <c r="B100">
        <v>4</v>
      </c>
      <c r="C100" t="s">
        <v>4</v>
      </c>
      <c r="G100">
        <v>8</v>
      </c>
      <c r="H100" s="23">
        <v>0.05</v>
      </c>
      <c r="I100" s="47">
        <f>SUM(H88:H100)</f>
        <v>0.65</v>
      </c>
      <c r="J100" s="47">
        <f>SUM(H100:H107)</f>
        <v>0.39999999999999997</v>
      </c>
      <c r="K100" s="23">
        <f>(Probability[[#This Row],[Roll]]^2-(Probability[[#This Row],[Roll]]-1)^2)/400</f>
        <v>3.7499999999999999E-2</v>
      </c>
      <c r="L100" s="47">
        <f>SUM(K88:K100)</f>
        <v>0.87749999999999995</v>
      </c>
      <c r="M100" s="47">
        <f>SUM(K100:K107)</f>
        <v>0.16000000000000003</v>
      </c>
      <c r="N100" s="23">
        <f>(((20-Probability[[#This Row],[Roll]]+1)^2-(20-Probability[[#This Row],[Roll]])^2))/400</f>
        <v>6.25E-2</v>
      </c>
      <c r="O100" s="47">
        <f>SUM(N88:N100)</f>
        <v>0.42249999999999999</v>
      </c>
      <c r="P100" s="47">
        <f>SUM(N100:N107)</f>
        <v>0.64000000000000012</v>
      </c>
      <c r="Q100" s="23">
        <f>((Probability[[#This Row],[Roll]]^3)-(Probability[[#This Row],[Roll]]-1)^3)/8000</f>
        <v>2.1125000000000001E-2</v>
      </c>
      <c r="R100" s="23">
        <f>SUM($Q$95:$Q$107)</f>
        <v>0.27462500000000001</v>
      </c>
      <c r="S100" s="23">
        <f>(((20-Probability[[#This Row],[Roll]]+1)^3-(20-Probability[[#This Row],[Roll]])^3))/8000</f>
        <v>5.8624999999999997E-2</v>
      </c>
      <c r="T100" s="23">
        <f>SUM($S$95:$S$107)</f>
        <v>0.95712500000000011</v>
      </c>
      <c r="V100" t="s">
        <v>60</v>
      </c>
      <c r="W100">
        <v>2</v>
      </c>
      <c r="X100" t="str">
        <f>CONCATENATE(Table70[[#This Row],[Creature]],Table70[[#This Row],[Number]])</f>
        <v>Ki-rin2</v>
      </c>
      <c r="Y100" t="s">
        <v>316</v>
      </c>
      <c r="Z100" t="s">
        <v>519</v>
      </c>
      <c r="AA100" t="s">
        <v>0</v>
      </c>
      <c r="AB100">
        <f>VLOOKUP(Table70[[#This Row],[Move Name]],Table49[],2,FALSE)</f>
        <v>13</v>
      </c>
      <c r="AE100">
        <f>VLOOKUP(Table70[[#This Row],[Move Name]],Table49[],3,FALSE)</f>
        <v>2</v>
      </c>
      <c r="AF100">
        <f>VLOOKUP(Table70[[#This Row],[Move Name]],Table49[],4,FALSE)</f>
        <v>8</v>
      </c>
      <c r="AG100">
        <f>VLOOKUP(Table70[[#This Row],[Move Name]],Table49[],5,FALSE)</f>
        <v>5</v>
      </c>
      <c r="AL100">
        <f>((Table70[[#This Row],[Damage Dice]]/2)*Table70[[#This Row],['# Dice]])+(Table70[[#This Row],[Bonus Damage Dice]]/2)*Table70[[#This Row],[Bonus '# Dice]]+Table70[[#This Row],[Bonus Damage]]</f>
        <v>13</v>
      </c>
      <c r="AP100" t="s">
        <v>63</v>
      </c>
      <c r="AQ100">
        <v>3</v>
      </c>
      <c r="AR100" s="2" t="str">
        <f>CONCATENATE(Table100[[#This Row],[Creature]],Table100[[#This Row],[Number]])</f>
        <v>Rakshasa3</v>
      </c>
      <c r="AS100" t="s">
        <v>656</v>
      </c>
      <c r="AT100" t="s">
        <v>89</v>
      </c>
      <c r="AW100" t="s">
        <v>411</v>
      </c>
      <c r="AX100">
        <v>18</v>
      </c>
      <c r="BF100" s="2">
        <f>((Table100[[#This Row],[Damage Dice]]/2)*Table100[[#This Row],['# Dice]])+((Table100[[#This Row],[Bonus Damage Dice]]/2)*Table100[[#This Row],[Bonus '# Dice]])+Table100[[#This Row],[Bonus Damage]]</f>
        <v>0</v>
      </c>
    </row>
    <row r="101" spans="1:58" x14ac:dyDescent="0.35">
      <c r="A101" t="s">
        <v>30</v>
      </c>
      <c r="B101">
        <v>4</v>
      </c>
      <c r="G101">
        <v>7</v>
      </c>
      <c r="H101" s="23">
        <v>0.05</v>
      </c>
      <c r="I101" s="47">
        <f>SUM(H88:H101)</f>
        <v>0.70000000000000007</v>
      </c>
      <c r="J101" s="47">
        <f>SUM(H101:H107)</f>
        <v>0.35</v>
      </c>
      <c r="K101" s="23">
        <f>(Probability[[#This Row],[Roll]]^2-(Probability[[#This Row],[Roll]]-1)^2)/400</f>
        <v>3.2500000000000001E-2</v>
      </c>
      <c r="L101" s="47">
        <f>SUM(K88:K101)</f>
        <v>0.90999999999999992</v>
      </c>
      <c r="M101" s="47">
        <f>SUM(K101:K107)</f>
        <v>0.1225</v>
      </c>
      <c r="N101" s="23">
        <f>(((20-Probability[[#This Row],[Roll]]+1)^2-(20-Probability[[#This Row],[Roll]])^2))/400</f>
        <v>6.7500000000000004E-2</v>
      </c>
      <c r="O101" s="47">
        <f>SUM(N88:N101)</f>
        <v>0.49</v>
      </c>
      <c r="P101" s="47">
        <f>SUM(N101:N107)</f>
        <v>0.57750000000000012</v>
      </c>
      <c r="Q101" s="23">
        <f>((Probability[[#This Row],[Roll]]^3)-(Probability[[#This Row],[Roll]]-1)^3)/8000</f>
        <v>1.5875E-2</v>
      </c>
      <c r="R101" s="23">
        <f>SUM($Q$94:$Q$107)</f>
        <v>0.34300000000000008</v>
      </c>
      <c r="S101" s="23">
        <f>(((20-Probability[[#This Row],[Roll]]+1)^3-(20-Probability[[#This Row],[Roll]])^3))/8000</f>
        <v>6.8375000000000005E-2</v>
      </c>
      <c r="T101" s="23">
        <f>SUM($S$94:$S$107)</f>
        <v>0.97299999999999998</v>
      </c>
      <c r="V101" t="s">
        <v>60</v>
      </c>
      <c r="W101">
        <v>3</v>
      </c>
      <c r="X101" s="2" t="str">
        <f>CONCATENATE(Table70[[#This Row],[Creature]],Table70[[#This Row],[Number]])</f>
        <v>Ki-rin3</v>
      </c>
      <c r="Y101" t="s">
        <v>136</v>
      </c>
      <c r="Z101" t="s">
        <v>89</v>
      </c>
      <c r="AC101" t="s">
        <v>415</v>
      </c>
      <c r="AD101">
        <v>21</v>
      </c>
      <c r="AL101">
        <f>((Table70[[#This Row],[Damage Dice]]/2)*Table70[[#This Row],['# Dice]])+(Table70[[#This Row],[Bonus Damage Dice]]/2)*Table70[[#This Row],[Bonus '# Dice]]+Table70[[#This Row],[Bonus Damage]]</f>
        <v>0</v>
      </c>
      <c r="AM101">
        <v>30</v>
      </c>
      <c r="AP101" t="s">
        <v>63</v>
      </c>
      <c r="AQ101">
        <v>4</v>
      </c>
      <c r="AR101" s="2" t="str">
        <f>CONCATENATE(Table100[[#This Row],[Creature]],Table100[[#This Row],[Number]])</f>
        <v>Rakshasa4</v>
      </c>
      <c r="AS101" t="s">
        <v>657</v>
      </c>
      <c r="AT101" t="s">
        <v>89</v>
      </c>
      <c r="AW101" t="s">
        <v>411</v>
      </c>
      <c r="AX101">
        <v>18</v>
      </c>
      <c r="BF101" s="2">
        <f>((Table100[[#This Row],[Damage Dice]]/2)*Table100[[#This Row],['# Dice]])+((Table100[[#This Row],[Bonus Damage Dice]]/2)*Table100[[#This Row],[Bonus '# Dice]])+Table100[[#This Row],[Bonus Damage]]</f>
        <v>0</v>
      </c>
    </row>
    <row r="102" spans="1:58" x14ac:dyDescent="0.35">
      <c r="A102" t="s">
        <v>33</v>
      </c>
      <c r="B102">
        <v>4</v>
      </c>
      <c r="G102">
        <v>6</v>
      </c>
      <c r="H102" s="23">
        <v>0.05</v>
      </c>
      <c r="I102" s="47">
        <f>SUM(H88:H102)</f>
        <v>0.75000000000000011</v>
      </c>
      <c r="J102" s="47">
        <f>SUM(H102:H107)</f>
        <v>0.3</v>
      </c>
      <c r="K102" s="23">
        <f>(Probability[[#This Row],[Roll]]^2-(Probability[[#This Row],[Roll]]-1)^2)/400</f>
        <v>2.75E-2</v>
      </c>
      <c r="L102" s="47">
        <f>SUM(K88:K102)</f>
        <v>0.93749999999999989</v>
      </c>
      <c r="M102" s="47">
        <f>SUM(K102:K107)</f>
        <v>0.09</v>
      </c>
      <c r="N102" s="23">
        <f>(((20-Probability[[#This Row],[Roll]]+1)^2-(20-Probability[[#This Row],[Roll]])^2))/400</f>
        <v>7.2499999999999995E-2</v>
      </c>
      <c r="O102" s="47">
        <f>SUM(N88:N102)</f>
        <v>0.5625</v>
      </c>
      <c r="P102" s="47">
        <f>SUM(N102:N107)</f>
        <v>0.51</v>
      </c>
      <c r="Q102" s="23">
        <f>((Probability[[#This Row],[Roll]]^3)-(Probability[[#This Row],[Roll]]-1)^3)/8000</f>
        <v>1.1375E-2</v>
      </c>
      <c r="R102" s="23">
        <f>SUM($Q$93:$Q$107)</f>
        <v>0.421875</v>
      </c>
      <c r="S102" s="23">
        <f>(((20-Probability[[#This Row],[Roll]]+1)^3-(20-Probability[[#This Row],[Roll]])^3))/8000</f>
        <v>7.8875000000000001E-2</v>
      </c>
      <c r="T102" s="23">
        <f>SUM($S$93:$S$107)</f>
        <v>0.98437500000000011</v>
      </c>
      <c r="V102" t="s">
        <v>61</v>
      </c>
      <c r="W102">
        <v>1</v>
      </c>
      <c r="X102" t="str">
        <f>CONCATENATE(Table70[[#This Row],[Creature]],Table70[[#This Row],[Number]])</f>
        <v>Neothelid1</v>
      </c>
      <c r="Y102" t="s">
        <v>272</v>
      </c>
      <c r="Z102" t="s">
        <v>519</v>
      </c>
      <c r="AA102" t="s">
        <v>0</v>
      </c>
      <c r="AB102">
        <v>16</v>
      </c>
      <c r="AE102">
        <v>3</v>
      </c>
      <c r="AF102">
        <v>8</v>
      </c>
      <c r="AG102">
        <v>8</v>
      </c>
      <c r="AH102">
        <v>2</v>
      </c>
      <c r="AI102">
        <v>10</v>
      </c>
      <c r="AJ102" t="s">
        <v>0</v>
      </c>
      <c r="AK102">
        <v>21</v>
      </c>
      <c r="AL102">
        <f>((Table70[[#This Row],[Damage Dice]]/2)*Table70[[#This Row],['# Dice]])+(Table70[[#This Row],[Bonus Damage Dice]]/2)*Table70[[#This Row],[Bonus '# Dice]]+Table70[[#This Row],[Bonus Damage]]</f>
        <v>30</v>
      </c>
      <c r="AN102" t="s">
        <v>541</v>
      </c>
      <c r="AP102" t="s">
        <v>604</v>
      </c>
      <c r="AR102" t="str">
        <f>CONCATENATE(Table100[[#This Row],[Creature]],Table100[[#This Row],[Number]])</f>
        <v>Drow Inquisitor</v>
      </c>
      <c r="BF102">
        <f>((Table100[[#This Row],[Damage Dice]]/2)*Table100[[#This Row],['# Dice]])+((Table100[[#This Row],[Bonus Damage Dice]]/2)*Table100[[#This Row],[Bonus '# Dice]])+Table100[[#This Row],[Bonus Damage]]</f>
        <v>0</v>
      </c>
    </row>
    <row r="103" spans="1:58" x14ac:dyDescent="0.35">
      <c r="A103" t="s">
        <v>359</v>
      </c>
      <c r="B103">
        <v>4</v>
      </c>
      <c r="C103" t="s">
        <v>1</v>
      </c>
      <c r="G103">
        <v>5</v>
      </c>
      <c r="H103" s="23">
        <v>0.05</v>
      </c>
      <c r="I103" s="47">
        <f>SUM(H88:H103)</f>
        <v>0.80000000000000016</v>
      </c>
      <c r="J103" s="47">
        <f>SUM(H103:H107)</f>
        <v>0.25</v>
      </c>
      <c r="K103" s="23">
        <f>(Probability[[#This Row],[Roll]]^2-(Probability[[#This Row],[Roll]]-1)^2)/400</f>
        <v>2.2499999999999999E-2</v>
      </c>
      <c r="L103" s="47">
        <f>SUM(K88:K103)</f>
        <v>0.95999999999999985</v>
      </c>
      <c r="M103" s="47">
        <f>SUM(K103:K107)</f>
        <v>6.25E-2</v>
      </c>
      <c r="N103" s="23">
        <f>(((20-Probability[[#This Row],[Roll]]+1)^2-(20-Probability[[#This Row],[Roll]])^2))/400</f>
        <v>7.7499999999999999E-2</v>
      </c>
      <c r="O103" s="47">
        <f>SUM(N88:N103)</f>
        <v>0.64</v>
      </c>
      <c r="P103" s="47">
        <f>SUM(N103:N107)</f>
        <v>0.4375</v>
      </c>
      <c r="Q103" s="23">
        <f>((Probability[[#This Row],[Roll]]^3)-(Probability[[#This Row],[Roll]]-1)^3)/8000</f>
        <v>7.6249999999999998E-3</v>
      </c>
      <c r="R103" s="23">
        <f>SUM($Q$92:$Q$107)</f>
        <v>0.51200000000000001</v>
      </c>
      <c r="S103" s="23">
        <f>(((20-Probability[[#This Row],[Roll]]+1)^3-(20-Probability[[#This Row],[Roll]])^3))/8000</f>
        <v>9.0124999999999997E-2</v>
      </c>
      <c r="T103" s="23">
        <f>SUM($S$92:$S$107)</f>
        <v>0.9920000000000001</v>
      </c>
      <c r="V103" t="s">
        <v>61</v>
      </c>
      <c r="W103">
        <v>2</v>
      </c>
      <c r="X103" t="str">
        <f>CONCATENATE(Table70[[#This Row],[Creature]],Table70[[#This Row],[Number]])</f>
        <v>Neothelid2</v>
      </c>
      <c r="Y103" t="s">
        <v>273</v>
      </c>
      <c r="Z103" t="s">
        <v>89</v>
      </c>
      <c r="AC103" t="s">
        <v>414</v>
      </c>
      <c r="AD103">
        <v>21</v>
      </c>
      <c r="AE103">
        <v>10</v>
      </c>
      <c r="AF103">
        <v>6</v>
      </c>
      <c r="AL103">
        <f>((Table70[[#This Row],[Damage Dice]]/2)*Table70[[#This Row],['# Dice]])+(Table70[[#This Row],[Bonus Damage Dice]]/2)*Table70[[#This Row],[Bonus '# Dice]]+Table70[[#This Row],[Bonus Damage]]</f>
        <v>30</v>
      </c>
      <c r="AP103" t="s">
        <v>605</v>
      </c>
      <c r="AR103" t="str">
        <f>CONCATENATE(Table100[[#This Row],[Creature]],Table100[[#This Row],[Number]])</f>
        <v>Yuan-ti Anathema</v>
      </c>
      <c r="BF103">
        <f>((Table100[[#This Row],[Damage Dice]]/2)*Table100[[#This Row],['# Dice]])+((Table100[[#This Row],[Bonus Damage Dice]]/2)*Table100[[#This Row],[Bonus '# Dice]])+Table100[[#This Row],[Bonus Damage]]</f>
        <v>0</v>
      </c>
    </row>
    <row r="104" spans="1:58" x14ac:dyDescent="0.35">
      <c r="A104" t="s">
        <v>363</v>
      </c>
      <c r="B104">
        <v>4</v>
      </c>
      <c r="C104" t="s">
        <v>5</v>
      </c>
      <c r="G104">
        <v>4</v>
      </c>
      <c r="H104" s="23">
        <v>0.05</v>
      </c>
      <c r="I104" s="47">
        <f>SUM(H88:H104)</f>
        <v>0.8500000000000002</v>
      </c>
      <c r="J104" s="47">
        <f>SUM(H104:H107)</f>
        <v>0.2</v>
      </c>
      <c r="K104" s="23">
        <f>(Probability[[#This Row],[Roll]]^2-(Probability[[#This Row],[Roll]]-1)^2)/400</f>
        <v>1.7500000000000002E-2</v>
      </c>
      <c r="L104" s="47">
        <f>SUM(K88:K104)</f>
        <v>0.97749999999999981</v>
      </c>
      <c r="M104" s="47">
        <f>SUM(K104:K107)</f>
        <v>4.0000000000000008E-2</v>
      </c>
      <c r="N104" s="23">
        <f>(((20-Probability[[#This Row],[Roll]]+1)^2-(20-Probability[[#This Row],[Roll]])^2))/400</f>
        <v>8.2500000000000004E-2</v>
      </c>
      <c r="O104" s="47">
        <f>SUM(N88:N104)</f>
        <v>0.72250000000000003</v>
      </c>
      <c r="P104" s="47">
        <f>SUM(N104:N107)</f>
        <v>0.36</v>
      </c>
      <c r="Q104" s="23">
        <f>((Probability[[#This Row],[Roll]]^3)-(Probability[[#This Row],[Roll]]-1)^3)/8000</f>
        <v>4.6249999999999998E-3</v>
      </c>
      <c r="R104" s="23">
        <f>SUM($Q$91:$Q$107)</f>
        <v>0.61412499999999992</v>
      </c>
      <c r="S104" s="23">
        <f>(((20-Probability[[#This Row],[Roll]]+1)^3-(20-Probability[[#This Row],[Roll]])^3))/8000</f>
        <v>0.10212499999999999</v>
      </c>
      <c r="T104" s="23">
        <f>SUM($S$91:$S$107)</f>
        <v>0.99662499999999998</v>
      </c>
      <c r="V104" t="s">
        <v>61</v>
      </c>
      <c r="W104">
        <v>3</v>
      </c>
      <c r="X104" s="2" t="str">
        <f>CONCATENATE(Table70[[#This Row],[Creature]],Table70[[#This Row],[Number]])</f>
        <v>Neothelid3</v>
      </c>
      <c r="Y104" t="s">
        <v>591</v>
      </c>
      <c r="Z104" t="s">
        <v>89</v>
      </c>
      <c r="AC104" t="s">
        <v>415</v>
      </c>
      <c r="AD104">
        <v>21</v>
      </c>
      <c r="AH104">
        <v>6</v>
      </c>
      <c r="AI104">
        <v>6</v>
      </c>
      <c r="AL104">
        <f>((Table70[[#This Row],[Damage Dice]]/2)*Table70[[#This Row],['# Dice]])+(Table70[[#This Row],[Bonus Damage Dice]]/2)*Table70[[#This Row],[Bonus '# Dice]]+Table70[[#This Row],[Bonus Damage]]</f>
        <v>18</v>
      </c>
      <c r="AN104" t="s">
        <v>541</v>
      </c>
      <c r="AP104" t="s">
        <v>606</v>
      </c>
      <c r="AR104" t="str">
        <f>CONCATENATE(Table100[[#This Row],[Creature]],Table100[[#This Row],[Number]])</f>
        <v>Yuan-ti Abomination</v>
      </c>
      <c r="BF104">
        <f>((Table100[[#This Row],[Damage Dice]]/2)*Table100[[#This Row],['# Dice]])+((Table100[[#This Row],[Bonus Damage Dice]]/2)*Table100[[#This Row],[Bonus '# Dice]])+Table100[[#This Row],[Bonus Damage]]</f>
        <v>0</v>
      </c>
    </row>
    <row r="105" spans="1:58" x14ac:dyDescent="0.35">
      <c r="A105" t="s">
        <v>478</v>
      </c>
      <c r="B105">
        <v>4</v>
      </c>
      <c r="G105">
        <v>3</v>
      </c>
      <c r="H105" s="23">
        <v>0.05</v>
      </c>
      <c r="I105" s="47">
        <f>SUM(H88:H105)</f>
        <v>0.90000000000000024</v>
      </c>
      <c r="J105" s="47">
        <f>SUM(H105:H107)</f>
        <v>0.15000000000000002</v>
      </c>
      <c r="K105" s="23">
        <f>(Probability[[#This Row],[Roll]]^2-(Probability[[#This Row],[Roll]]-1)^2)/400</f>
        <v>1.2500000000000001E-2</v>
      </c>
      <c r="L105" s="47">
        <f>SUM(K88:K105)</f>
        <v>0.98999999999999977</v>
      </c>
      <c r="M105" s="47">
        <f>SUM(K105:K107)</f>
        <v>2.2499999999999999E-2</v>
      </c>
      <c r="N105" s="23">
        <f>(((20-Probability[[#This Row],[Roll]]+1)^2-(20-Probability[[#This Row],[Roll]])^2))/400</f>
        <v>8.7499999999999994E-2</v>
      </c>
      <c r="O105" s="47">
        <f>SUM(N88:N105)</f>
        <v>0.81</v>
      </c>
      <c r="P105" s="47">
        <f>SUM(N105:N107)</f>
        <v>0.27749999999999997</v>
      </c>
      <c r="Q105" s="23">
        <f>((Probability[[#This Row],[Roll]]^3)-(Probability[[#This Row],[Roll]]-1)^3)/8000</f>
        <v>2.3749999999999999E-3</v>
      </c>
      <c r="R105" s="23">
        <f>SUM($Q$90:$Q$107)</f>
        <v>0.72899999999999998</v>
      </c>
      <c r="S105" s="23">
        <f>(((20-Probability[[#This Row],[Roll]]+1)^3-(20-Probability[[#This Row],[Roll]])^3))/8000</f>
        <v>0.114875</v>
      </c>
      <c r="T105" s="23">
        <f>SUM($S$90:$S$107)</f>
        <v>0.999</v>
      </c>
      <c r="V105" t="s">
        <v>61</v>
      </c>
      <c r="W105">
        <v>4</v>
      </c>
      <c r="X105" s="2" t="str">
        <f>CONCATENATE(Table70[[#This Row],[Creature]],Table70[[#This Row],[Number]])</f>
        <v>Neothelid4</v>
      </c>
      <c r="Y105" t="s">
        <v>136</v>
      </c>
      <c r="Z105" t="s">
        <v>89</v>
      </c>
      <c r="AC105" t="s">
        <v>415</v>
      </c>
      <c r="AD105">
        <v>21</v>
      </c>
      <c r="AL105">
        <f>((Table70[[#This Row],[Damage Dice]]/2)*Table70[[#This Row],['# Dice]])+(Table70[[#This Row],[Bonus Damage Dice]]/2)*Table70[[#This Row],[Bonus '# Dice]]+Table70[[#This Row],[Bonus Damage]]</f>
        <v>0</v>
      </c>
      <c r="AM105">
        <v>30</v>
      </c>
      <c r="AP105" t="s">
        <v>607</v>
      </c>
      <c r="AR105" t="str">
        <f>CONCATENATE(Table100[[#This Row],[Creature]],Table100[[#This Row],[Number]])</f>
        <v>Yuan-ti Pit Master</v>
      </c>
      <c r="BF105">
        <f>((Table100[[#This Row],[Damage Dice]]/2)*Table100[[#This Row],['# Dice]])+((Table100[[#This Row],[Bonus Damage Dice]]/2)*Table100[[#This Row],[Bonus '# Dice]])+Table100[[#This Row],[Bonus Damage]]</f>
        <v>0</v>
      </c>
    </row>
    <row r="106" spans="1:58" x14ac:dyDescent="0.35">
      <c r="A106" t="s">
        <v>441</v>
      </c>
      <c r="B106">
        <v>5</v>
      </c>
      <c r="G106">
        <v>2</v>
      </c>
      <c r="H106" s="23">
        <v>0.05</v>
      </c>
      <c r="I106" s="47">
        <f>SUM(H88:H106)</f>
        <v>0.95000000000000029</v>
      </c>
      <c r="J106" s="47">
        <f>SUM(H106:H107)</f>
        <v>0.1</v>
      </c>
      <c r="K106" s="23">
        <f>(Probability[[#This Row],[Roll]]^2-(Probability[[#This Row],[Roll]]-1)^2)/400</f>
        <v>7.4999999999999997E-3</v>
      </c>
      <c r="L106" s="47">
        <f>SUM(K88:K106)</f>
        <v>0.99749999999999972</v>
      </c>
      <c r="M106" s="47">
        <f>SUM(K106:K107)</f>
        <v>0.01</v>
      </c>
      <c r="N106" s="23">
        <f>(((20-Probability[[#This Row],[Roll]]+1)^2-(20-Probability[[#This Row],[Roll]])^2))/400</f>
        <v>9.2499999999999999E-2</v>
      </c>
      <c r="O106" s="47">
        <f>SUM(N88:N106)</f>
        <v>0.90250000000000008</v>
      </c>
      <c r="P106" s="47">
        <f>SUM(N106:N107)</f>
        <v>0.19</v>
      </c>
      <c r="Q106" s="23">
        <f>((Probability[[#This Row],[Roll]]^3)-(Probability[[#This Row],[Roll]]-1)^3)/8000</f>
        <v>8.7500000000000002E-4</v>
      </c>
      <c r="R106" s="23">
        <f>SUM($Q$89:$Q$107)</f>
        <v>0.857375</v>
      </c>
      <c r="S106" s="23">
        <f>(((20-Probability[[#This Row],[Roll]]+1)^3-(20-Probability[[#This Row],[Roll]])^3))/8000</f>
        <v>0.12837499999999999</v>
      </c>
      <c r="T106" s="23">
        <f>SUM($S$89:$S$107)</f>
        <v>0.99987500000000018</v>
      </c>
      <c r="V106" t="s">
        <v>300</v>
      </c>
      <c r="W106">
        <v>1</v>
      </c>
      <c r="X106" t="str">
        <f>CONCATENATE(Table70[[#This Row],[Creature]],Table70[[#This Row],[Number]])</f>
        <v>Nothic Oni1</v>
      </c>
      <c r="Y106" t="s">
        <v>542</v>
      </c>
      <c r="Z106" t="s">
        <v>519</v>
      </c>
      <c r="AA106" t="s">
        <v>0</v>
      </c>
      <c r="AB106">
        <v>12</v>
      </c>
      <c r="AE106">
        <v>1</v>
      </c>
      <c r="AF106">
        <v>8</v>
      </c>
      <c r="AG106">
        <v>4</v>
      </c>
      <c r="AL106">
        <f>((Table70[[#This Row],[Damage Dice]]/2)*Table70[[#This Row],['# Dice]])+(Table70[[#This Row],[Bonus Damage Dice]]/2)*Table70[[#This Row],[Bonus '# Dice]]+Table70[[#This Row],[Bonus Damage]]</f>
        <v>8</v>
      </c>
      <c r="AM106">
        <v>5</v>
      </c>
      <c r="AP106" t="s">
        <v>608</v>
      </c>
      <c r="AR106" t="str">
        <f>CONCATENATE(Table100[[#This Row],[Creature]],Table100[[#This Row],[Number]])</f>
        <v>Yuan-ti Nightmare Speaker</v>
      </c>
      <c r="BF106">
        <f>((Table100[[#This Row],[Damage Dice]]/2)*Table100[[#This Row],['# Dice]])+((Table100[[#This Row],[Bonus Damage Dice]]/2)*Table100[[#This Row],[Bonus '# Dice]])+Table100[[#This Row],[Bonus Damage]]</f>
        <v>0</v>
      </c>
    </row>
    <row r="107" spans="1:58" x14ac:dyDescent="0.35">
      <c r="A107" t="s">
        <v>442</v>
      </c>
      <c r="B107">
        <v>5</v>
      </c>
      <c r="G107">
        <v>1</v>
      </c>
      <c r="H107" s="23">
        <v>0.05</v>
      </c>
      <c r="I107" s="47">
        <f>SUM(H89:H107)</f>
        <v>0.95000000000000029</v>
      </c>
      <c r="J107" s="47">
        <f>SUM(H107)</f>
        <v>0.05</v>
      </c>
      <c r="K107" s="23">
        <f>(Probability[[#This Row],[Roll]]^2-(Probability[[#This Row],[Roll]]-1)^2)/400</f>
        <v>2.5000000000000001E-3</v>
      </c>
      <c r="L107" s="47">
        <v>0.99750000000000005</v>
      </c>
      <c r="M107" s="47">
        <f>SUM(K107)</f>
        <v>2.5000000000000001E-3</v>
      </c>
      <c r="N107" s="23">
        <f>(((20-Probability[[#This Row],[Roll]]+1)^2-(20-Probability[[#This Row],[Roll]])^2))/400</f>
        <v>9.7500000000000003E-2</v>
      </c>
      <c r="O107" s="47">
        <f>SUM($N$88:$N$108)</f>
        <v>1</v>
      </c>
      <c r="P107" s="47">
        <f>SUM(N107)</f>
        <v>9.7500000000000003E-2</v>
      </c>
      <c r="Q107" s="23">
        <f>((Probability[[#This Row],[Roll]]^3)-(Probability[[#This Row],[Roll]]-1)^3)/8000</f>
        <v>1.25E-4</v>
      </c>
      <c r="R107" s="23">
        <f>SUM($Q$88:$Q$108)</f>
        <v>1</v>
      </c>
      <c r="S107" s="23">
        <f>(((20-Probability[[#This Row],[Roll]]+1)^3-(20-Probability[[#This Row],[Roll]])^3))/8000</f>
        <v>0.142625</v>
      </c>
      <c r="T107" s="23">
        <f>SUM($S$88:$S$108)</f>
        <v>1</v>
      </c>
      <c r="V107" t="s">
        <v>300</v>
      </c>
      <c r="W107">
        <v>2</v>
      </c>
      <c r="X107" t="str">
        <f>CONCATENATE(Table70[[#This Row],[Creature]],Table70[[#This Row],[Number]])</f>
        <v>Nothic Oni2</v>
      </c>
      <c r="Y107" t="s">
        <v>330</v>
      </c>
      <c r="Z107" t="s">
        <v>519</v>
      </c>
      <c r="AA107" t="s">
        <v>0</v>
      </c>
      <c r="AB107">
        <v>12</v>
      </c>
      <c r="AE107">
        <v>2</v>
      </c>
      <c r="AF107">
        <v>10</v>
      </c>
      <c r="AG107">
        <v>4</v>
      </c>
      <c r="AL107">
        <f>((Table70[[#This Row],[Damage Dice]]/2)*Table70[[#This Row],['# Dice]])+(Table70[[#This Row],[Bonus Damage Dice]]/2)*Table70[[#This Row],[Bonus '# Dice]]+Table70[[#This Row],[Bonus Damage]]</f>
        <v>14</v>
      </c>
      <c r="AM107">
        <v>10</v>
      </c>
      <c r="AP107" t="s">
        <v>609</v>
      </c>
      <c r="AR107" t="str">
        <f>CONCATENATE(Table100[[#This Row],[Creature]],Table100[[#This Row],[Number]])</f>
        <v>Yuan-ti Mind Whisperer</v>
      </c>
      <c r="BF107">
        <f>((Table100[[#This Row],[Damage Dice]]/2)*Table100[[#This Row],['# Dice]])+((Table100[[#This Row],[Bonus Damage Dice]]/2)*Table100[[#This Row],[Bonus '# Dice]])+Table100[[#This Row],[Bonus Damage]]</f>
        <v>0</v>
      </c>
    </row>
    <row r="108" spans="1:58" x14ac:dyDescent="0.35">
      <c r="A108" t="s">
        <v>445</v>
      </c>
      <c r="B108">
        <v>5</v>
      </c>
      <c r="G108">
        <v>0</v>
      </c>
      <c r="I108" s="47">
        <v>0.95</v>
      </c>
      <c r="J108" s="47"/>
      <c r="L108" s="23"/>
      <c r="M108" s="23"/>
      <c r="O108" s="23"/>
      <c r="P108" s="23"/>
      <c r="Q108" s="2"/>
      <c r="R108" s="23"/>
      <c r="V108" t="s">
        <v>300</v>
      </c>
      <c r="W108">
        <v>3</v>
      </c>
      <c r="X108" t="str">
        <f>CONCATENATE(Table70[[#This Row],[Creature]],Table70[[#This Row],[Number]])</f>
        <v>Nothic Oni3</v>
      </c>
      <c r="Y108" t="s">
        <v>543</v>
      </c>
      <c r="Z108" t="s">
        <v>89</v>
      </c>
      <c r="AC108" t="s">
        <v>413</v>
      </c>
      <c r="AD108">
        <v>20</v>
      </c>
      <c r="AE108">
        <v>3</v>
      </c>
      <c r="AF108">
        <v>6</v>
      </c>
      <c r="AL108">
        <f>((Table70[[#This Row],[Damage Dice]]/2)*Table70[[#This Row],['# Dice]])+(Table70[[#This Row],[Bonus Damage Dice]]/2)*Table70[[#This Row],[Bonus '# Dice]]+Table70[[#This Row],[Bonus Damage]]</f>
        <v>9</v>
      </c>
      <c r="AM108">
        <v>30</v>
      </c>
      <c r="AP108" t="s">
        <v>610</v>
      </c>
      <c r="AR108" t="str">
        <f>CONCATENATE(Table100[[#This Row],[Creature]],Table100[[#This Row],[Number]])</f>
        <v>Yuan-ti Priest</v>
      </c>
      <c r="BF108">
        <f>((Table100[[#This Row],[Damage Dice]]/2)*Table100[[#This Row],['# Dice]])+((Table100[[#This Row],[Bonus Damage Dice]]/2)*Table100[[#This Row],[Bonus '# Dice]])+Table100[[#This Row],[Bonus Damage]]</f>
        <v>0</v>
      </c>
    </row>
    <row r="109" spans="1:58" x14ac:dyDescent="0.35">
      <c r="A109" t="s">
        <v>447</v>
      </c>
      <c r="B109">
        <v>5</v>
      </c>
      <c r="V109" t="s">
        <v>300</v>
      </c>
      <c r="W109">
        <v>4</v>
      </c>
      <c r="X109" s="2" t="str">
        <f>CONCATENATE(Table70[[#This Row],[Creature]],Table70[[#This Row],[Number]])</f>
        <v>Nothic Oni4</v>
      </c>
      <c r="Y109" t="s">
        <v>136</v>
      </c>
      <c r="Z109" t="s">
        <v>89</v>
      </c>
      <c r="AC109" t="s">
        <v>415</v>
      </c>
      <c r="AD109">
        <v>21</v>
      </c>
      <c r="AL109">
        <f>((Table70[[#This Row],[Damage Dice]]/2)*Table70[[#This Row],['# Dice]])+(Table70[[#This Row],[Bonus Damage Dice]]/2)*Table70[[#This Row],[Bonus '# Dice]]+Table70[[#This Row],[Bonus Damage]]</f>
        <v>0</v>
      </c>
      <c r="AM109">
        <v>30</v>
      </c>
      <c r="AP109" t="s">
        <v>611</v>
      </c>
      <c r="AR109" t="str">
        <f>CONCATENATE(Table100[[#This Row],[Creature]],Table100[[#This Row],[Number]])</f>
        <v>Yuan-ti Malison</v>
      </c>
      <c r="BF109">
        <f>((Table100[[#This Row],[Damage Dice]]/2)*Table100[[#This Row],['# Dice]])+((Table100[[#This Row],[Bonus Damage Dice]]/2)*Table100[[#This Row],[Bonus '# Dice]])+Table100[[#This Row],[Bonus Damage]]</f>
        <v>0</v>
      </c>
    </row>
    <row r="110" spans="1:58" x14ac:dyDescent="0.35">
      <c r="A110" t="s">
        <v>448</v>
      </c>
      <c r="B110">
        <v>5</v>
      </c>
      <c r="G110" t="s">
        <v>423</v>
      </c>
      <c r="H110" t="s">
        <v>598</v>
      </c>
      <c r="V110" t="s">
        <v>63</v>
      </c>
      <c r="X110" t="str">
        <f>CONCATENATE(Table70[[#This Row],[Creature]],Table70[[#This Row],[Number]])</f>
        <v>Rakshasa</v>
      </c>
      <c r="Y110" s="38"/>
      <c r="Z110" s="38"/>
      <c r="AA110" s="38"/>
      <c r="AB110" s="38"/>
      <c r="AC110" s="38"/>
      <c r="AD110" s="38"/>
      <c r="AE110" s="38"/>
      <c r="AF110" s="38"/>
      <c r="AG110" s="38"/>
      <c r="AH110" s="38"/>
      <c r="AI110" s="38"/>
      <c r="AJ110" s="38"/>
      <c r="AK110" s="38"/>
      <c r="AL110">
        <f>((Table70[[#This Row],[Damage Dice]]/2)*Table70[[#This Row],['# Dice]])+(Table70[[#This Row],[Bonus Damage Dice]]/2)*Table70[[#This Row],[Bonus '# Dice]]+Table70[[#This Row],[Bonus Damage]]</f>
        <v>0</v>
      </c>
      <c r="AM110" s="38"/>
      <c r="AN110" s="38"/>
      <c r="AP110" t="s">
        <v>612</v>
      </c>
      <c r="AR110" t="str">
        <f>CONCATENATE(Table100[[#This Row],[Creature]],Table100[[#This Row],[Number]])</f>
        <v>Yuan-ti Broodguard</v>
      </c>
      <c r="BF110">
        <f>((Table100[[#This Row],[Damage Dice]]/2)*Table100[[#This Row],['# Dice]])+((Table100[[#This Row],[Bonus Damage Dice]]/2)*Table100[[#This Row],[Bonus '# Dice]])+Table100[[#This Row],[Bonus Damage]]</f>
        <v>0</v>
      </c>
    </row>
    <row r="111" spans="1:58" x14ac:dyDescent="0.35">
      <c r="A111" t="s">
        <v>449</v>
      </c>
      <c r="B111">
        <v>5</v>
      </c>
      <c r="G111">
        <v>4</v>
      </c>
      <c r="H111" s="21">
        <v>0.25</v>
      </c>
      <c r="V111" s="39" t="s">
        <v>64</v>
      </c>
      <c r="W111" s="43">
        <v>1</v>
      </c>
      <c r="X111" s="43" t="str">
        <f>CONCATENATE(Table70[[#This Row],[Creature]],Table70[[#This Row],[Number]])</f>
        <v>Vampire Spectator1</v>
      </c>
      <c r="Y111" t="s">
        <v>544</v>
      </c>
      <c r="Z111" t="s">
        <v>519</v>
      </c>
      <c r="AA111" t="s">
        <v>0</v>
      </c>
      <c r="AB111">
        <v>12</v>
      </c>
      <c r="AE111">
        <v>1</v>
      </c>
      <c r="AF111">
        <v>8</v>
      </c>
      <c r="AG111">
        <v>4</v>
      </c>
      <c r="AL111">
        <f>((Table70[[#This Row],[Damage Dice]]/2)*Table70[[#This Row],['# Dice]])+(Table70[[#This Row],[Bonus Damage Dice]]/2)*Table70[[#This Row],[Bonus '# Dice]]+Table70[[#This Row],[Bonus Damage]]</f>
        <v>8</v>
      </c>
      <c r="AM111">
        <v>5</v>
      </c>
      <c r="AN111" t="s">
        <v>545</v>
      </c>
      <c r="AP111" t="s">
        <v>613</v>
      </c>
      <c r="AR111" t="str">
        <f>CONCATENATE(Table100[[#This Row],[Creature]],Table100[[#This Row],[Number]])</f>
        <v>Yuan-ti Pureblood</v>
      </c>
      <c r="BF111">
        <f>((Table100[[#This Row],[Damage Dice]]/2)*Table100[[#This Row],['# Dice]])+((Table100[[#This Row],[Bonus Damage Dice]]/2)*Table100[[#This Row],[Bonus '# Dice]])+Table100[[#This Row],[Bonus Damage]]</f>
        <v>0</v>
      </c>
    </row>
    <row r="112" spans="1:58" x14ac:dyDescent="0.35">
      <c r="A112" t="s">
        <v>450</v>
      </c>
      <c r="B112">
        <v>5</v>
      </c>
      <c r="G112">
        <v>3</v>
      </c>
      <c r="H112" s="21">
        <v>0.25</v>
      </c>
      <c r="V112" s="43" t="s">
        <v>64</v>
      </c>
      <c r="W112" s="43">
        <v>2</v>
      </c>
      <c r="X112" s="53" t="str">
        <f>CONCATENATE(Table70[[#This Row],[Creature]],Table70[[#This Row],[Number]])</f>
        <v>Vampire Spectator2</v>
      </c>
      <c r="Y112" t="s">
        <v>627</v>
      </c>
      <c r="Z112" t="s">
        <v>519</v>
      </c>
      <c r="AA112" t="s">
        <v>0</v>
      </c>
      <c r="AB112">
        <v>12</v>
      </c>
      <c r="AE112">
        <v>1</v>
      </c>
      <c r="AF112">
        <v>8</v>
      </c>
      <c r="AG112">
        <v>4</v>
      </c>
      <c r="AH112">
        <v>2</v>
      </c>
      <c r="AI112">
        <v>12</v>
      </c>
      <c r="AL112">
        <f>((Table70[[#This Row],[Damage Dice]]/2)*Table70[[#This Row],['# Dice]])+(Table70[[#This Row],[Bonus Damage Dice]]/2)*Table70[[#This Row],[Bonus '# Dice]]+Table70[[#This Row],[Bonus Damage]]</f>
        <v>20</v>
      </c>
      <c r="AM112">
        <v>5</v>
      </c>
      <c r="AR112" t="str">
        <f>CONCATENATE(Table100[[#This Row],[Creature]],Table100[[#This Row],[Number]])</f>
        <v/>
      </c>
      <c r="BF112">
        <f>((Table100[[#This Row],[Damage Dice]]/2)*Table100[[#This Row],['# Dice]])+((Table100[[#This Row],[Bonus Damage Dice]]/2)*Table100[[#This Row],[Bonus '# Dice]])+Table100[[#This Row],[Bonus Damage]]</f>
        <v>0</v>
      </c>
    </row>
    <row r="113" spans="1:58" x14ac:dyDescent="0.35">
      <c r="A113" t="s">
        <v>451</v>
      </c>
      <c r="B113">
        <v>5</v>
      </c>
      <c r="G113">
        <v>2</v>
      </c>
      <c r="H113" s="21">
        <v>0.25</v>
      </c>
      <c r="V113" t="s">
        <v>64</v>
      </c>
      <c r="W113">
        <v>3</v>
      </c>
      <c r="X113" t="str">
        <f>CONCATENATE(Table70[[#This Row],[Creature]],Table70[[#This Row],[Number]])</f>
        <v>Vampire Spectator3</v>
      </c>
      <c r="Y113" t="s">
        <v>230</v>
      </c>
      <c r="Z113" t="s">
        <v>519</v>
      </c>
      <c r="AA113" t="s">
        <v>0</v>
      </c>
      <c r="AB113">
        <v>12</v>
      </c>
      <c r="AE113">
        <v>1</v>
      </c>
      <c r="AF113">
        <v>6</v>
      </c>
      <c r="AG113">
        <v>4</v>
      </c>
      <c r="AH113">
        <v>3</v>
      </c>
      <c r="AI113">
        <v>6</v>
      </c>
      <c r="AL113">
        <f>((Table70[[#This Row],[Damage Dice]]/2)*Table70[[#This Row],['# Dice]])+(Table70[[#This Row],[Bonus Damage Dice]]/2)*Table70[[#This Row],[Bonus '# Dice]]+Table70[[#This Row],[Bonus Damage]]</f>
        <v>16</v>
      </c>
      <c r="AM113">
        <v>5</v>
      </c>
      <c r="AR113" t="str">
        <f>CONCATENATE(Table100[[#This Row],[Creature]],Table100[[#This Row],[Number]])</f>
        <v/>
      </c>
      <c r="BF113">
        <f>((Table100[[#This Row],[Damage Dice]]/2)*Table100[[#This Row],['# Dice]])+((Table100[[#This Row],[Bonus Damage Dice]]/2)*Table100[[#This Row],[Bonus '# Dice]])+Table100[[#This Row],[Bonus Damage]]</f>
        <v>0</v>
      </c>
    </row>
    <row r="114" spans="1:58" x14ac:dyDescent="0.35">
      <c r="A114" t="s">
        <v>455</v>
      </c>
      <c r="B114">
        <v>5</v>
      </c>
      <c r="C114" t="s">
        <v>5</v>
      </c>
      <c r="G114">
        <v>1</v>
      </c>
      <c r="H114" s="21">
        <v>0.25</v>
      </c>
      <c r="V114" t="s">
        <v>64</v>
      </c>
      <c r="W114">
        <v>4</v>
      </c>
      <c r="X114" t="str">
        <f>CONCATENATE(Table70[[#This Row],[Creature]],Table70[[#This Row],[Number]])</f>
        <v>Vampire Spectator4</v>
      </c>
      <c r="Y114" t="s">
        <v>231</v>
      </c>
      <c r="Z114" t="s">
        <v>89</v>
      </c>
      <c r="AC114" t="s">
        <v>411</v>
      </c>
      <c r="AD114">
        <v>20</v>
      </c>
      <c r="AL114">
        <f>((Table70[[#This Row],[Damage Dice]]/2)*Table70[[#This Row],['# Dice]])+(Table70[[#This Row],[Bonus Damage Dice]]/2)*Table70[[#This Row],[Bonus '# Dice]]+Table70[[#This Row],[Bonus Damage]]</f>
        <v>0</v>
      </c>
      <c r="AM114">
        <v>30</v>
      </c>
      <c r="AN114" t="s">
        <v>358</v>
      </c>
      <c r="AR114" t="str">
        <f>CONCATENATE(Table100[[#This Row],[Creature]],Table100[[#This Row],[Number]])</f>
        <v/>
      </c>
      <c r="BF114">
        <f>((Table100[[#This Row],[Damage Dice]]/2)*Table100[[#This Row],['# Dice]])+((Table100[[#This Row],[Bonus Damage Dice]]/2)*Table100[[#This Row],[Bonus '# Dice]])+Table100[[#This Row],[Bonus Damage]]</f>
        <v>0</v>
      </c>
    </row>
    <row r="115" spans="1:58" x14ac:dyDescent="0.35">
      <c r="A115" t="s">
        <v>457</v>
      </c>
      <c r="B115">
        <v>5</v>
      </c>
      <c r="V115" t="s">
        <v>64</v>
      </c>
      <c r="W115">
        <v>5</v>
      </c>
      <c r="X115" s="2" t="str">
        <f>CONCATENATE(Table70[[#This Row],[Creature]],Table70[[#This Row],[Number]])</f>
        <v>Vampire Spectator5</v>
      </c>
      <c r="Y115" t="s">
        <v>592</v>
      </c>
      <c r="Z115" t="s">
        <v>89</v>
      </c>
      <c r="AC115" t="s">
        <v>411</v>
      </c>
      <c r="AD115">
        <v>21</v>
      </c>
      <c r="AL115">
        <f>((Table70[[#This Row],[Damage Dice]]/2)*Table70[[#This Row],['# Dice]])+(Table70[[#This Row],[Bonus Damage Dice]]/2)*Table70[[#This Row],[Bonus '# Dice]]+Table70[[#This Row],[Bonus Damage]]</f>
        <v>0</v>
      </c>
      <c r="AM115">
        <v>90</v>
      </c>
      <c r="AR115" t="str">
        <f>CONCATENATE(Table100[[#This Row],[Creature]],Table100[[#This Row],[Number]])</f>
        <v/>
      </c>
      <c r="BF115">
        <f>((Table100[[#This Row],[Damage Dice]]/2)*Table100[[#This Row],['# Dice]])+((Table100[[#This Row],[Bonus Damage Dice]]/2)*Table100[[#This Row],[Bonus '# Dice]])+Table100[[#This Row],[Bonus Damage]]</f>
        <v>0</v>
      </c>
    </row>
    <row r="116" spans="1:58" x14ac:dyDescent="0.35">
      <c r="A116" t="s">
        <v>458</v>
      </c>
      <c r="B116">
        <v>5</v>
      </c>
      <c r="C116" t="s">
        <v>4</v>
      </c>
      <c r="V116" t="s">
        <v>64</v>
      </c>
      <c r="W116">
        <v>6</v>
      </c>
      <c r="X116" s="2" t="str">
        <f>CONCATENATE(Table70[[#This Row],[Creature]],Table70[[#This Row],[Number]])</f>
        <v>Vampire Spectator6</v>
      </c>
      <c r="Y116" t="s">
        <v>593</v>
      </c>
      <c r="Z116" t="s">
        <v>89</v>
      </c>
      <c r="AC116" t="s">
        <v>413</v>
      </c>
      <c r="AD116">
        <v>21</v>
      </c>
      <c r="AL116">
        <f>((Table70[[#This Row],[Damage Dice]]/2)*Table70[[#This Row],['# Dice]])+(Table70[[#This Row],[Bonus Damage Dice]]/2)*Table70[[#This Row],[Bonus '# Dice]]+Table70[[#This Row],[Bonus Damage]]</f>
        <v>0</v>
      </c>
      <c r="AM116">
        <v>90</v>
      </c>
      <c r="AN116" t="s">
        <v>594</v>
      </c>
      <c r="AR116" t="str">
        <f>CONCATENATE(Table100[[#This Row],[Creature]],Table100[[#This Row],[Number]])</f>
        <v/>
      </c>
      <c r="BF116">
        <f>((Table100[[#This Row],[Damage Dice]]/2)*Table100[[#This Row],['# Dice]])+((Table100[[#This Row],[Bonus Damage Dice]]/2)*Table100[[#This Row],[Bonus '# Dice]])+Table100[[#This Row],[Bonus Damage]]</f>
        <v>0</v>
      </c>
    </row>
    <row r="117" spans="1:58" x14ac:dyDescent="0.35">
      <c r="A117" t="s">
        <v>461</v>
      </c>
      <c r="B117">
        <v>5</v>
      </c>
      <c r="V117" t="s">
        <v>64</v>
      </c>
      <c r="W117">
        <v>7</v>
      </c>
      <c r="X117" s="2" t="str">
        <f>CONCATENATE(Table70[[#This Row],[Creature]],Table70[[#This Row],[Number]])</f>
        <v>Vampire Spectator7</v>
      </c>
      <c r="Y117" t="s">
        <v>595</v>
      </c>
      <c r="Z117" t="s">
        <v>89</v>
      </c>
      <c r="AC117" t="s">
        <v>411</v>
      </c>
      <c r="AD117">
        <v>21</v>
      </c>
      <c r="AL117">
        <f>((Table70[[#This Row],[Damage Dice]]/2)*Table70[[#This Row],['# Dice]])+(Table70[[#This Row],[Bonus Damage Dice]]/2)*Table70[[#This Row],[Bonus '# Dice]]+Table70[[#This Row],[Bonus Damage]]</f>
        <v>0</v>
      </c>
      <c r="AM117">
        <v>90</v>
      </c>
      <c r="AN117" t="s">
        <v>596</v>
      </c>
      <c r="AR117" t="str">
        <f>CONCATENATE(Table100[[#This Row],[Creature]],Table100[[#This Row],[Number]])</f>
        <v/>
      </c>
      <c r="BF117">
        <f>((Table100[[#This Row],[Damage Dice]]/2)*Table100[[#This Row],['# Dice]])+((Table100[[#This Row],[Bonus Damage Dice]]/2)*Table100[[#This Row],[Bonus '# Dice]])+Table100[[#This Row],[Bonus Damage]]</f>
        <v>0</v>
      </c>
    </row>
    <row r="118" spans="1:58" x14ac:dyDescent="0.35">
      <c r="A118" t="s">
        <v>462</v>
      </c>
      <c r="B118">
        <v>5</v>
      </c>
      <c r="V118" t="s">
        <v>64</v>
      </c>
      <c r="W118">
        <v>8</v>
      </c>
      <c r="X118" s="2" t="str">
        <f>CONCATENATE(Table70[[#This Row],[Creature]],Table70[[#This Row],[Number]])</f>
        <v>Vampire Spectator8</v>
      </c>
      <c r="Y118" t="s">
        <v>597</v>
      </c>
      <c r="Z118" t="s">
        <v>89</v>
      </c>
      <c r="AC118" t="s">
        <v>413</v>
      </c>
      <c r="AD118">
        <v>21</v>
      </c>
      <c r="AE118">
        <v>3</v>
      </c>
      <c r="AF118">
        <v>10</v>
      </c>
      <c r="AL118">
        <f>((Table70[[#This Row],[Damage Dice]]/2)*Table70[[#This Row],['# Dice]])+(Table70[[#This Row],[Bonus Damage Dice]]/2)*Table70[[#This Row],[Bonus '# Dice]]+Table70[[#This Row],[Bonus Damage]]</f>
        <v>15</v>
      </c>
      <c r="AM118">
        <v>90</v>
      </c>
      <c r="AR118" t="str">
        <f>CONCATENATE(Table100[[#This Row],[Creature]],Table100[[#This Row],[Number]])</f>
        <v/>
      </c>
      <c r="BF118">
        <f>((Table100[[#This Row],[Damage Dice]]/2)*Table100[[#This Row],['# Dice]])+((Table100[[#This Row],[Bonus Damage Dice]]/2)*Table100[[#This Row],[Bonus '# Dice]])+Table100[[#This Row],[Bonus Damage]]</f>
        <v>0</v>
      </c>
    </row>
    <row r="119" spans="1:58" x14ac:dyDescent="0.35">
      <c r="A119" t="s">
        <v>353</v>
      </c>
      <c r="B119">
        <v>5</v>
      </c>
      <c r="V119" t="s">
        <v>64</v>
      </c>
      <c r="W119">
        <v>9</v>
      </c>
      <c r="X119" s="2" t="str">
        <f>CONCATENATE(Table70[[#This Row],[Creature]],Table70[[#This Row],[Number]])</f>
        <v>Vampire Spectator9</v>
      </c>
      <c r="Y119" t="s">
        <v>136</v>
      </c>
      <c r="Z119" t="s">
        <v>89</v>
      </c>
      <c r="AC119" t="s">
        <v>415</v>
      </c>
      <c r="AD119">
        <v>21</v>
      </c>
      <c r="AL119">
        <f>((Table70[[#This Row],[Damage Dice]]/2)*Table70[[#This Row],['# Dice]])+(Table70[[#This Row],[Bonus Damage Dice]]/2)*Table70[[#This Row],[Bonus '# Dice]]+Table70[[#This Row],[Bonus Damage]]</f>
        <v>0</v>
      </c>
      <c r="AM119">
        <v>30</v>
      </c>
    </row>
    <row r="120" spans="1:58" x14ac:dyDescent="0.35">
      <c r="A120" t="s">
        <v>25</v>
      </c>
      <c r="B120">
        <v>5</v>
      </c>
      <c r="C120" t="s">
        <v>2</v>
      </c>
      <c r="V120" t="s">
        <v>676</v>
      </c>
      <c r="W120">
        <v>1</v>
      </c>
      <c r="X120" s="2" t="str">
        <f>CONCATENATE(Table70[[#This Row],[Creature]],Table70[[#This Row],[Number]])</f>
        <v>Dim1</v>
      </c>
      <c r="Y120" t="s">
        <v>679</v>
      </c>
      <c r="Z120" t="s">
        <v>519</v>
      </c>
      <c r="AA120" t="s">
        <v>1</v>
      </c>
      <c r="AB120">
        <v>10</v>
      </c>
      <c r="AE120">
        <v>1</v>
      </c>
      <c r="AF120">
        <v>10</v>
      </c>
      <c r="AG120">
        <v>5</v>
      </c>
      <c r="AL120">
        <f>((Table70[[#This Row],[Damage Dice]]/2)*Table70[[#This Row],['# Dice]])+(Table70[[#This Row],[Bonus Damage Dice]]/2)*Table70[[#This Row],[Bonus '# Dice]]+Table70[[#This Row],[Bonus Damage]]</f>
        <v>10</v>
      </c>
      <c r="AM120">
        <v>15</v>
      </c>
    </row>
    <row r="121" spans="1:58" x14ac:dyDescent="0.35">
      <c r="A121" t="s">
        <v>466</v>
      </c>
      <c r="B121">
        <v>5</v>
      </c>
      <c r="C121" t="s">
        <v>0</v>
      </c>
      <c r="V121" t="s">
        <v>676</v>
      </c>
      <c r="W121">
        <v>2</v>
      </c>
      <c r="X121" s="2" t="str">
        <f>CONCATENATE(Table70[[#This Row],[Creature]],Table70[[#This Row],[Number]])</f>
        <v>Dim2</v>
      </c>
      <c r="Y121" t="s">
        <v>544</v>
      </c>
      <c r="Z121" t="s">
        <v>519</v>
      </c>
      <c r="AA121" t="s">
        <v>1</v>
      </c>
      <c r="AB121">
        <v>9</v>
      </c>
      <c r="AE121">
        <v>1</v>
      </c>
      <c r="AF121">
        <v>10</v>
      </c>
      <c r="AG121">
        <v>4</v>
      </c>
      <c r="AL121">
        <f>((Table70[[#This Row],[Damage Dice]]/2)*Table70[[#This Row],['# Dice]])+(Table70[[#This Row],[Bonus Damage Dice]]/2)*Table70[[#This Row],[Bonus '# Dice]]+Table70[[#This Row],[Bonus Damage]]</f>
        <v>9</v>
      </c>
    </row>
    <row r="122" spans="1:58" x14ac:dyDescent="0.35">
      <c r="A122" t="s">
        <v>26</v>
      </c>
      <c r="B122">
        <v>5</v>
      </c>
      <c r="V122" t="s">
        <v>676</v>
      </c>
      <c r="W122">
        <v>3</v>
      </c>
      <c r="X122" s="2" t="str">
        <f>CONCATENATE(Table70[[#This Row],[Creature]],Table70[[#This Row],[Number]])</f>
        <v>Dim3</v>
      </c>
      <c r="Y122" t="s">
        <v>685</v>
      </c>
      <c r="Z122" t="s">
        <v>519</v>
      </c>
      <c r="AA122" t="s">
        <v>1</v>
      </c>
      <c r="AB122">
        <v>9</v>
      </c>
      <c r="AE122">
        <v>1</v>
      </c>
      <c r="AF122">
        <v>10</v>
      </c>
      <c r="AG122">
        <v>4</v>
      </c>
      <c r="AJ122" t="s">
        <v>2</v>
      </c>
      <c r="AK122">
        <v>17</v>
      </c>
      <c r="AL122">
        <f>((Table70[[#This Row],[Damage Dice]]/2)*Table70[[#This Row],['# Dice]])+(Table70[[#This Row],[Bonus Damage Dice]]/2)*Table70[[#This Row],[Bonus '# Dice]]+Table70[[#This Row],[Bonus Damage]]</f>
        <v>9</v>
      </c>
      <c r="AN122" t="s">
        <v>537</v>
      </c>
    </row>
    <row r="123" spans="1:58" x14ac:dyDescent="0.35">
      <c r="A123" t="s">
        <v>74</v>
      </c>
      <c r="B123">
        <v>5</v>
      </c>
      <c r="V123" t="s">
        <v>676</v>
      </c>
      <c r="W123">
        <v>4</v>
      </c>
      <c r="X123" s="2" t="str">
        <f>CONCATENATE(Table70[[#This Row],[Creature]],Table70[[#This Row],[Number]])</f>
        <v>Dim4</v>
      </c>
      <c r="Y123" t="s">
        <v>686</v>
      </c>
      <c r="Z123" t="s">
        <v>519</v>
      </c>
      <c r="AA123" t="s">
        <v>1</v>
      </c>
      <c r="AB123">
        <v>10</v>
      </c>
      <c r="AE123">
        <v>1</v>
      </c>
      <c r="AF123">
        <v>10</v>
      </c>
      <c r="AG123">
        <v>5</v>
      </c>
      <c r="AJ123" t="s">
        <v>2</v>
      </c>
      <c r="AK123">
        <v>17</v>
      </c>
      <c r="AL123">
        <f>((Table70[[#This Row],[Damage Dice]]/2)*Table70[[#This Row],['# Dice]])+(Table70[[#This Row],[Bonus Damage Dice]]/2)*Table70[[#This Row],[Bonus '# Dice]]+Table70[[#This Row],[Bonus Damage]]</f>
        <v>10</v>
      </c>
      <c r="AN123" t="s">
        <v>537</v>
      </c>
    </row>
    <row r="124" spans="1:58" x14ac:dyDescent="0.35">
      <c r="A124" t="s">
        <v>22</v>
      </c>
      <c r="B124">
        <v>5</v>
      </c>
      <c r="C124" t="s">
        <v>0</v>
      </c>
      <c r="V124" t="s">
        <v>676</v>
      </c>
      <c r="W124">
        <v>5</v>
      </c>
      <c r="X124" s="2" t="str">
        <f>CONCATENATE(Table70[[#This Row],[Creature]],Table70[[#This Row],[Number]])</f>
        <v>Dim5</v>
      </c>
      <c r="Y124" t="s">
        <v>687</v>
      </c>
      <c r="Z124" t="s">
        <v>519</v>
      </c>
      <c r="AA124" t="s">
        <v>1</v>
      </c>
      <c r="AB124">
        <v>9</v>
      </c>
      <c r="AE124">
        <v>1</v>
      </c>
      <c r="AF124">
        <v>6</v>
      </c>
      <c r="AG124">
        <v>4</v>
      </c>
      <c r="AL124">
        <f>((Table70[[#This Row],[Damage Dice]]/2)*Table70[[#This Row],['# Dice]])+(Table70[[#This Row],[Bonus Damage Dice]]/2)*Table70[[#This Row],[Bonus '# Dice]]+Table70[[#This Row],[Bonus Damage]]</f>
        <v>7</v>
      </c>
      <c r="AM124">
        <v>60</v>
      </c>
      <c r="AN124" t="s">
        <v>688</v>
      </c>
    </row>
    <row r="125" spans="1:58" x14ac:dyDescent="0.35">
      <c r="A125" t="s">
        <v>24</v>
      </c>
      <c r="B125">
        <v>5</v>
      </c>
    </row>
    <row r="126" spans="1:58" x14ac:dyDescent="0.35">
      <c r="A126" t="s">
        <v>476</v>
      </c>
      <c r="B126">
        <v>5</v>
      </c>
    </row>
    <row r="127" spans="1:58" x14ac:dyDescent="0.35">
      <c r="A127" t="s">
        <v>443</v>
      </c>
      <c r="B127">
        <v>6</v>
      </c>
    </row>
    <row r="128" spans="1:58" x14ac:dyDescent="0.35">
      <c r="A128" t="s">
        <v>446</v>
      </c>
      <c r="B128">
        <v>6</v>
      </c>
    </row>
    <row r="129" spans="1:3" x14ac:dyDescent="0.35">
      <c r="A129" t="s">
        <v>452</v>
      </c>
      <c r="B129">
        <v>6</v>
      </c>
    </row>
    <row r="130" spans="1:3" x14ac:dyDescent="0.35">
      <c r="A130" t="s">
        <v>459</v>
      </c>
      <c r="B130">
        <v>6</v>
      </c>
    </row>
    <row r="131" spans="1:3" x14ac:dyDescent="0.35">
      <c r="A131" t="s">
        <v>463</v>
      </c>
      <c r="B131">
        <v>6</v>
      </c>
    </row>
    <row r="132" spans="1:3" x14ac:dyDescent="0.35">
      <c r="A132" t="s">
        <v>464</v>
      </c>
      <c r="B132">
        <v>6</v>
      </c>
    </row>
    <row r="133" spans="1:3" x14ac:dyDescent="0.35">
      <c r="A133" t="s">
        <v>21</v>
      </c>
      <c r="B133">
        <v>6</v>
      </c>
      <c r="C133" t="s">
        <v>4</v>
      </c>
    </row>
    <row r="134" spans="1:3" x14ac:dyDescent="0.35">
      <c r="A134" t="s">
        <v>20</v>
      </c>
      <c r="B134">
        <v>6</v>
      </c>
    </row>
    <row r="135" spans="1:3" x14ac:dyDescent="0.35">
      <c r="A135" t="s">
        <v>17</v>
      </c>
      <c r="B135">
        <v>6</v>
      </c>
    </row>
    <row r="136" spans="1:3" x14ac:dyDescent="0.35">
      <c r="A136" t="s">
        <v>19</v>
      </c>
      <c r="B136">
        <v>6</v>
      </c>
    </row>
    <row r="137" spans="1:3" x14ac:dyDescent="0.35">
      <c r="A137" t="s">
        <v>357</v>
      </c>
      <c r="B137">
        <v>6</v>
      </c>
      <c r="C137" t="s">
        <v>4</v>
      </c>
    </row>
    <row r="138" spans="1:3" x14ac:dyDescent="0.35">
      <c r="A138" t="s">
        <v>477</v>
      </c>
      <c r="B138">
        <v>6</v>
      </c>
      <c r="C138" t="s">
        <v>4</v>
      </c>
    </row>
    <row r="139" spans="1:3" x14ac:dyDescent="0.35">
      <c r="A139" t="s">
        <v>354</v>
      </c>
      <c r="B139">
        <v>6</v>
      </c>
      <c r="C139" t="s">
        <v>2</v>
      </c>
    </row>
    <row r="140" spans="1:3" x14ac:dyDescent="0.35">
      <c r="A140" t="s">
        <v>479</v>
      </c>
      <c r="B140">
        <v>6</v>
      </c>
    </row>
    <row r="141" spans="1:3" x14ac:dyDescent="0.35">
      <c r="A141" t="s">
        <v>16</v>
      </c>
      <c r="B141">
        <v>7</v>
      </c>
    </row>
    <row r="142" spans="1:3" x14ac:dyDescent="0.35">
      <c r="A142" t="s">
        <v>465</v>
      </c>
      <c r="B142">
        <v>7</v>
      </c>
    </row>
    <row r="143" spans="1:3" x14ac:dyDescent="0.35">
      <c r="A143" t="s">
        <v>14</v>
      </c>
      <c r="B143">
        <v>7</v>
      </c>
    </row>
    <row r="144" spans="1:3" x14ac:dyDescent="0.35">
      <c r="A144" t="s">
        <v>361</v>
      </c>
      <c r="B144">
        <v>7</v>
      </c>
      <c r="C144" t="s">
        <v>1</v>
      </c>
    </row>
    <row r="145" spans="1:3" x14ac:dyDescent="0.35">
      <c r="A145" t="s">
        <v>475</v>
      </c>
      <c r="B145">
        <v>7</v>
      </c>
      <c r="C145" t="s">
        <v>5</v>
      </c>
    </row>
    <row r="146" spans="1:3" x14ac:dyDescent="0.35">
      <c r="A146" t="s">
        <v>362</v>
      </c>
      <c r="B146">
        <v>8</v>
      </c>
    </row>
    <row r="147" spans="1:3" x14ac:dyDescent="0.35">
      <c r="A147" t="s">
        <v>453</v>
      </c>
      <c r="B147">
        <v>9</v>
      </c>
    </row>
    <row r="148" spans="1:3" x14ac:dyDescent="0.35">
      <c r="A148" t="s">
        <v>12</v>
      </c>
      <c r="B148">
        <v>9</v>
      </c>
    </row>
    <row r="149" spans="1:3" x14ac:dyDescent="0.35">
      <c r="A149" t="s">
        <v>9</v>
      </c>
      <c r="B149">
        <v>9</v>
      </c>
    </row>
    <row r="150" spans="1:3" x14ac:dyDescent="0.35">
      <c r="A150" t="s">
        <v>163</v>
      </c>
      <c r="B150">
        <v>9</v>
      </c>
    </row>
    <row r="151" spans="1:3" x14ac:dyDescent="0.35">
      <c r="A151" t="s">
        <v>469</v>
      </c>
      <c r="B151">
        <v>9</v>
      </c>
    </row>
    <row r="152" spans="1:3" x14ac:dyDescent="0.35">
      <c r="A152" t="s">
        <v>471</v>
      </c>
      <c r="B152">
        <v>9</v>
      </c>
      <c r="C152" t="s">
        <v>4</v>
      </c>
    </row>
    <row r="153" spans="1:3" x14ac:dyDescent="0.35">
      <c r="A153" t="s">
        <v>472</v>
      </c>
      <c r="B153">
        <v>9</v>
      </c>
      <c r="C153" t="s">
        <v>4</v>
      </c>
    </row>
    <row r="154" spans="1:3" x14ac:dyDescent="0.35">
      <c r="A154" t="s">
        <v>473</v>
      </c>
      <c r="B154">
        <v>9</v>
      </c>
    </row>
  </sheetData>
  <sortState xmlns:xlrd2="http://schemas.microsoft.com/office/spreadsheetml/2017/richdata2" ref="K26:K44">
    <sortCondition ref="K25:K44"/>
  </sortState>
  <phoneticPr fontId="5" type="noConversion"/>
  <pageMargins left="0.7" right="0.7" top="0.75" bottom="0.75" header="0.3" footer="0.3"/>
  <pageSetup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1381B-962E-45BB-B424-1C2CC5C8C5EF}">
  <sheetPr codeName="Sheet16"/>
  <dimension ref="A1:Y103"/>
  <sheetViews>
    <sheetView tabSelected="1" topLeftCell="C60" zoomScale="85" zoomScaleNormal="89" workbookViewId="0">
      <selection activeCell="M87" sqref="M87"/>
    </sheetView>
  </sheetViews>
  <sheetFormatPr defaultRowHeight="14.5" x14ac:dyDescent="0.35"/>
  <cols>
    <col min="1" max="1" width="19.453125" customWidth="1"/>
    <col min="2" max="2" width="25.54296875" bestFit="1" customWidth="1"/>
    <col min="3" max="3" width="17.81640625" bestFit="1" customWidth="1"/>
    <col min="4" max="4" width="15" bestFit="1" customWidth="1"/>
    <col min="5" max="5" width="30.26953125" bestFit="1" customWidth="1"/>
    <col min="6" max="6" width="16.08984375" hidden="1" customWidth="1"/>
    <col min="7" max="7" width="18.1796875" bestFit="1" customWidth="1"/>
    <col min="8" max="8" width="23.81640625" customWidth="1"/>
    <col min="9" max="9" width="17.81640625" customWidth="1"/>
    <col min="10" max="10" width="20.81640625" customWidth="1"/>
    <col min="11" max="11" width="13.1796875" customWidth="1"/>
    <col min="12" max="12" width="22" bestFit="1" customWidth="1"/>
    <col min="13" max="13" width="14.81640625" customWidth="1"/>
    <col min="14" max="15" width="10" bestFit="1" customWidth="1"/>
    <col min="16" max="16" width="19.26953125" bestFit="1" customWidth="1"/>
    <col min="17" max="17" width="22.26953125" bestFit="1" customWidth="1"/>
    <col min="19" max="19" width="18.1796875" bestFit="1" customWidth="1"/>
    <col min="20" max="20" width="12.81640625" bestFit="1" customWidth="1"/>
    <col min="21" max="21" width="10" bestFit="1" customWidth="1"/>
    <col min="23" max="23" width="17.453125" bestFit="1" customWidth="1"/>
    <col min="24" max="24" width="8.26953125" bestFit="1" customWidth="1"/>
    <col min="25" max="25" width="10.81640625" bestFit="1" customWidth="1"/>
  </cols>
  <sheetData>
    <row r="1" spans="1:25" x14ac:dyDescent="0.35">
      <c r="A1" s="1"/>
    </row>
    <row r="2" spans="1:25" ht="15" thickBot="1" x14ac:dyDescent="0.4">
      <c r="A2" s="1" t="s">
        <v>304</v>
      </c>
      <c r="H2" s="1" t="s">
        <v>490</v>
      </c>
      <c r="J2" t="s">
        <v>495</v>
      </c>
      <c r="P2" s="1" t="s">
        <v>301</v>
      </c>
      <c r="S2" s="1" t="s">
        <v>484</v>
      </c>
      <c r="W2" s="1" t="s">
        <v>622</v>
      </c>
      <c r="X2" s="1" t="s">
        <v>603</v>
      </c>
      <c r="Y2" s="49">
        <f>SUM(Table53109[XP])/30000</f>
        <v>0</v>
      </c>
    </row>
    <row r="3" spans="1:25" ht="15" thickBot="1" x14ac:dyDescent="0.4">
      <c r="A3" s="1" t="s">
        <v>297</v>
      </c>
      <c r="B3" s="1" t="s">
        <v>308</v>
      </c>
      <c r="C3" s="1" t="s">
        <v>298</v>
      </c>
      <c r="D3" s="1" t="s">
        <v>432</v>
      </c>
      <c r="E3" s="1" t="s">
        <v>433</v>
      </c>
      <c r="F3" s="1" t="s">
        <v>431</v>
      </c>
      <c r="G3" s="1"/>
      <c r="H3" s="29" t="s">
        <v>491</v>
      </c>
      <c r="J3" t="s">
        <v>297</v>
      </c>
      <c r="K3" t="s">
        <v>496</v>
      </c>
      <c r="L3" t="s">
        <v>497</v>
      </c>
      <c r="M3" t="s">
        <v>498</v>
      </c>
      <c r="P3" s="1" t="s">
        <v>302</v>
      </c>
      <c r="Q3" s="1" t="s">
        <v>303</v>
      </c>
      <c r="S3" t="s">
        <v>485</v>
      </c>
      <c r="T3" t="s">
        <v>50</v>
      </c>
      <c r="U3" t="s">
        <v>482</v>
      </c>
      <c r="W3" t="s">
        <v>297</v>
      </c>
      <c r="X3" t="s">
        <v>599</v>
      </c>
      <c r="Y3" t="s">
        <v>600</v>
      </c>
    </row>
    <row r="4" spans="1:25" ht="15.5" thickTop="1" thickBot="1" x14ac:dyDescent="0.4">
      <c r="A4" s="8" t="s">
        <v>676</v>
      </c>
      <c r="B4">
        <f>'Drow Arachnomancer'!$F$17</f>
        <v>18</v>
      </c>
      <c r="C4" s="11">
        <v>112</v>
      </c>
      <c r="D4" s="21">
        <f>CreatureTracker88[[#This Row],[Current Hitpoints]]/CreatureTracker88[[#This Row],[Total Hit Points]]</f>
        <v>1</v>
      </c>
      <c r="E4" s="28">
        <f>(VLOOKUP(CreatureTracker88[[#This Row],[Creature]],SlotTracker104[],MATCH("Current Spell Arsenal",SlotTracker104[#Headers],0),FALSE))/(VLOOKUP(CreatureTracker88[[#This Row],[Creature]],SlotTracker104[],MATCH("Spell Presence",SlotTracker104[#Headers],0),FALSE))</f>
        <v>1</v>
      </c>
      <c r="F4" s="11">
        <v>112</v>
      </c>
      <c r="H4" s="30" t="s">
        <v>492</v>
      </c>
      <c r="J4" t="s">
        <v>676</v>
      </c>
      <c r="K4" t="e">
        <f>VLOOKUP(Table8105[[#This Row],[Creature]],Table6696[],5,FALSE)</f>
        <v>#N/A</v>
      </c>
      <c r="L4" t="s">
        <v>87</v>
      </c>
      <c r="M4" s="37"/>
      <c r="U4" s="10" t="str">
        <f>IF(Table68103[[#This Row],[Spell Level]]&lt;&gt;"",VLOOKUP(Table68103[[#This Row],[Spell Level]],Table67[],2,FALSE)*1,"")</f>
        <v/>
      </c>
      <c r="X4" s="52" t="str">
        <f>IFERROR(VLOOKUP(Table53109[[#This Row],[Creature]],Enemies[],16,FALSE),"")</f>
        <v/>
      </c>
      <c r="Y4" s="52" t="str">
        <f>IFERROR(Table53109[[#This Row],[XP]],"")</f>
        <v/>
      </c>
    </row>
    <row r="5" spans="1:25" ht="15.5" thickTop="1" thickBot="1" x14ac:dyDescent="0.4">
      <c r="A5" s="8" t="s">
        <v>677</v>
      </c>
      <c r="B5">
        <f>Archdruid!$F$17</f>
        <v>18</v>
      </c>
      <c r="C5" s="11">
        <v>21</v>
      </c>
      <c r="D5" s="21">
        <f>CreatureTracker88[[#This Row],[Current Hitpoints]]/CreatureTracker88[[#This Row],[Total Hit Points]]</f>
        <v>1</v>
      </c>
      <c r="E5" s="28" t="e">
        <f>(VLOOKUP(CreatureTracker88[[#This Row],[Creature]],SlotTracker104[],MATCH("Current Spell Arsenal",SlotTracker104[#Headers],0),FALSE))/(VLOOKUP(CreatureTracker88[[#This Row],[Creature]],SlotTracker104[],MATCH("Spell Presence",SlotTracker104[#Headers],0),FALSE))</f>
        <v>#DIV/0!</v>
      </c>
      <c r="F5" s="11">
        <v>21</v>
      </c>
      <c r="H5" s="56" t="s">
        <v>635</v>
      </c>
      <c r="J5" t="s">
        <v>678</v>
      </c>
      <c r="K5" t="e">
        <f>VLOOKUP(Table8105[[#This Row],[Creature]],Table6696[],5,FALSE)</f>
        <v>#N/A</v>
      </c>
      <c r="L5" t="s">
        <v>87</v>
      </c>
      <c r="M5" s="37"/>
      <c r="U5" s="10" t="str">
        <f>IF(Table68103[[#This Row],[Spell Level]]&lt;&gt;"",VLOOKUP(Table68103[[#This Row],[Spell Level]],Table67[],2,FALSE)*1,"")</f>
        <v/>
      </c>
      <c r="X5" s="52" t="str">
        <f>IFERROR(VLOOKUP(Table53109[[#This Row],[Creature]],Enemies[],16,FALSE),"")</f>
        <v/>
      </c>
      <c r="Y5" s="52" t="str">
        <f>IFERROR(Table53109[[#This Row],[XP]]+Y4,"")</f>
        <v/>
      </c>
    </row>
    <row r="6" spans="1:25" ht="15.5" thickTop="1" thickBot="1" x14ac:dyDescent="0.4">
      <c r="A6" s="8" t="s">
        <v>678</v>
      </c>
      <c r="B6">
        <f>'Conclave Dryad'!$F$17</f>
        <v>20</v>
      </c>
      <c r="C6" s="11">
        <v>19</v>
      </c>
      <c r="D6" s="21">
        <f>CreatureTracker88[[#This Row],[Current Hitpoints]]/CreatureTracker88[[#This Row],[Total Hit Points]]</f>
        <v>1</v>
      </c>
      <c r="E6" s="28" t="e">
        <f>(VLOOKUP(CreatureTracker88[[#This Row],[Creature]],SlotTracker104[],MATCH("Current Spell Arsenal",SlotTracker104[#Headers],0),FALSE))/(VLOOKUP(CreatureTracker88[[#This Row],[Creature]],SlotTracker104[],MATCH("Spell Presence",SlotTracker104[#Headers],0),FALSE))</f>
        <v>#DIV/0!</v>
      </c>
      <c r="F6" s="11">
        <v>19</v>
      </c>
      <c r="H6" s="56"/>
      <c r="J6" t="s">
        <v>677</v>
      </c>
      <c r="K6" t="e">
        <f>VLOOKUP(Table8105[[#This Row],[Creature]],Table6696[],5,FALSE)</f>
        <v>#N/A</v>
      </c>
      <c r="L6" t="s">
        <v>87</v>
      </c>
      <c r="M6" s="37"/>
      <c r="U6" s="10" t="str">
        <f>IF(Table68103[[#This Row],[Spell Level]]&lt;&gt;"",VLOOKUP(Table68103[[#This Row],[Spell Level]],Table67[],2,FALSE)*1,"")</f>
        <v/>
      </c>
      <c r="X6" s="52" t="str">
        <f>IFERROR(VLOOKUP(Table53109[[#This Row],[Creature]],Enemies[],16,FALSE),"")</f>
        <v/>
      </c>
      <c r="Y6" s="52" t="str">
        <f>IFERROR(Table53109[[#This Row],[XP]]+Y5,"")</f>
        <v/>
      </c>
    </row>
    <row r="7" spans="1:25" ht="15.5" thickTop="1" thickBot="1" x14ac:dyDescent="0.4">
      <c r="A7" s="8"/>
      <c r="C7" s="11"/>
      <c r="D7" s="21"/>
      <c r="E7" s="28"/>
      <c r="F7" s="11"/>
      <c r="H7" s="30"/>
      <c r="M7" s="37"/>
      <c r="U7" s="10" t="str">
        <f>IF(Table68103[[#This Row],[Spell Level]]&lt;&gt;"",VLOOKUP(Table68103[[#This Row],[Spell Level]],Table67[],2,FALSE)*1,"")</f>
        <v/>
      </c>
      <c r="X7" s="52" t="str">
        <f>IFERROR(VLOOKUP(Table53109[[#This Row],[Creature]],Enemies[],16,FALSE),"")</f>
        <v/>
      </c>
      <c r="Y7" s="52" t="str">
        <f>IFERROR(Table53109[[#This Row],[XP]]+Y6,"")</f>
        <v/>
      </c>
    </row>
    <row r="8" spans="1:25" ht="15.5" thickTop="1" thickBot="1" x14ac:dyDescent="0.4">
      <c r="A8" s="8"/>
      <c r="C8" s="11"/>
      <c r="D8" s="21"/>
      <c r="E8" s="28"/>
      <c r="F8" s="11"/>
      <c r="H8" s="30"/>
      <c r="M8" s="37"/>
      <c r="U8" s="10" t="str">
        <f>IF(Table68103[[#This Row],[Spell Level]]&lt;&gt;"",VLOOKUP(Table68103[[#This Row],[Spell Level]],Table67[],2,FALSE)*1,"")</f>
        <v/>
      </c>
      <c r="X8" s="52" t="str">
        <f>IFERROR(VLOOKUP(Table53109[[#This Row],[Creature]],Enemies[],16,FALSE),"")</f>
        <v/>
      </c>
      <c r="Y8" s="52" t="str">
        <f>IFERROR(Table53109[[#This Row],[XP]]+Y7,"")</f>
        <v/>
      </c>
    </row>
    <row r="9" spans="1:25" ht="15.5" thickTop="1" thickBot="1" x14ac:dyDescent="0.4">
      <c r="A9" s="8"/>
      <c r="C9" s="11"/>
      <c r="D9" s="21"/>
      <c r="E9" s="28"/>
      <c r="F9" s="11"/>
      <c r="H9" s="30"/>
      <c r="M9" s="37"/>
      <c r="U9" s="10" t="str">
        <f>IF(Table68103[[#This Row],[Spell Level]]&lt;&gt;"",VLOOKUP(Table68103[[#This Row],[Spell Level]],Table67[],2,FALSE)*1,"")</f>
        <v/>
      </c>
      <c r="X9" s="52" t="str">
        <f>IFERROR(VLOOKUP(Table53109[[#This Row],[Creature]],Enemies[],16,FALSE),"")</f>
        <v/>
      </c>
      <c r="Y9" s="52" t="str">
        <f>IFERROR(Table53109[[#This Row],[XP]]+Y8,"")</f>
        <v/>
      </c>
    </row>
    <row r="10" spans="1:25" ht="15.5" thickTop="1" thickBot="1" x14ac:dyDescent="0.4">
      <c r="A10" s="8"/>
      <c r="C10" s="11"/>
      <c r="D10" s="21"/>
      <c r="E10" s="28"/>
      <c r="F10" s="11"/>
      <c r="H10" s="30"/>
      <c r="M10" s="37"/>
      <c r="U10" s="10" t="str">
        <f>IF(Table68103[[#This Row],[Spell Level]]&lt;&gt;"",VLOOKUP(Table68103[[#This Row],[Spell Level]],Table67[],2,FALSE)*1,"")</f>
        <v/>
      </c>
      <c r="X10" s="52" t="str">
        <f>IFERROR(VLOOKUP(Table53109[[#This Row],[Creature]],Enemies[],16,FALSE),"")</f>
        <v/>
      </c>
      <c r="Y10" s="52" t="str">
        <f>IFERROR(Table53109[[#This Row],[XP]]+Y9,"")</f>
        <v/>
      </c>
    </row>
    <row r="11" spans="1:25" ht="15.5" thickTop="1" thickBot="1" x14ac:dyDescent="0.4">
      <c r="A11" s="8"/>
      <c r="C11" s="11"/>
      <c r="D11" s="21"/>
      <c r="E11" s="28"/>
      <c r="F11" s="11"/>
      <c r="H11" s="30"/>
      <c r="M11" s="37"/>
      <c r="U11" s="10" t="str">
        <f>IF(Table68103[[#This Row],[Spell Level]]&lt;&gt;"",VLOOKUP(Table68103[[#This Row],[Spell Level]],Table67[],2,FALSE)*1,"")</f>
        <v/>
      </c>
      <c r="X11" s="52" t="str">
        <f>IFERROR(VLOOKUP(Table53109[[#This Row],[Creature]],Enemies[],16,FALSE),"")</f>
        <v/>
      </c>
      <c r="Y11" s="52" t="str">
        <f>IFERROR(Table53109[[#This Row],[XP]]+Y10,"")</f>
        <v/>
      </c>
    </row>
    <row r="12" spans="1:25" ht="15.5" thickTop="1" thickBot="1" x14ac:dyDescent="0.4">
      <c r="A12" s="8"/>
      <c r="C12" s="11"/>
      <c r="D12" s="21"/>
      <c r="E12" s="28"/>
      <c r="F12" s="11"/>
      <c r="H12" s="30"/>
      <c r="M12" s="37"/>
      <c r="U12" s="10" t="str">
        <f>IF(Table68103[[#This Row],[Spell Level]]&lt;&gt;"",VLOOKUP(Table68103[[#This Row],[Spell Level]],Table67[],2,FALSE)*1,"")</f>
        <v/>
      </c>
      <c r="X12" s="52" t="str">
        <f>IFERROR(VLOOKUP(Table53109[[#This Row],[Creature]],Enemies[],16,FALSE),"")</f>
        <v/>
      </c>
      <c r="Y12" s="52" t="str">
        <f>IFERROR(Table53109[[#This Row],[XP]]+Y11,"")</f>
        <v/>
      </c>
    </row>
    <row r="13" spans="1:25" ht="15.5" thickTop="1" thickBot="1" x14ac:dyDescent="0.4">
      <c r="A13" s="8"/>
      <c r="C13" s="11"/>
      <c r="D13" s="21"/>
      <c r="E13" s="28"/>
      <c r="F13" s="11"/>
      <c r="H13" s="30"/>
      <c r="M13" s="37"/>
      <c r="U13" s="10" t="str">
        <f>IF(Table68103[[#This Row],[Spell Level]]&lt;&gt;"",VLOOKUP(Table68103[[#This Row],[Spell Level]],Table67[],2,FALSE)*1,"")</f>
        <v/>
      </c>
      <c r="X13" s="52" t="str">
        <f>IFERROR(VLOOKUP(Table53109[[#This Row],[Creature]],Enemies[],16,FALSE),"")</f>
        <v/>
      </c>
      <c r="Y13" s="52" t="str">
        <f>IFERROR(Table53109[[#This Row],[XP]]+Y12,"")</f>
        <v/>
      </c>
    </row>
    <row r="14" spans="1:25" ht="15.5" thickTop="1" thickBot="1" x14ac:dyDescent="0.4">
      <c r="A14" s="8"/>
      <c r="C14" s="11"/>
      <c r="D14" s="21"/>
      <c r="E14" s="28"/>
      <c r="F14" s="11"/>
      <c r="H14" s="30"/>
      <c r="M14" s="37"/>
      <c r="U14" s="10" t="str">
        <f>IF(Table68103[[#This Row],[Spell Level]]&lt;&gt;"",VLOOKUP(Table68103[[#This Row],[Spell Level]],Table67[],2,FALSE)*1,"")</f>
        <v/>
      </c>
      <c r="X14" s="52" t="str">
        <f>IFERROR(VLOOKUP(Table53109[[#This Row],[Creature]],Enemies[],16,FALSE),"")</f>
        <v/>
      </c>
      <c r="Y14" s="52" t="str">
        <f>IFERROR(Table53109[[#This Row],[XP]]+Y13,"")</f>
        <v/>
      </c>
    </row>
    <row r="15" spans="1:25" ht="15.5" thickTop="1" thickBot="1" x14ac:dyDescent="0.4">
      <c r="A15" s="8"/>
      <c r="C15" s="11"/>
      <c r="D15" s="21"/>
      <c r="E15" s="28"/>
      <c r="F15" s="11"/>
      <c r="H15" s="30"/>
      <c r="M15" s="37"/>
      <c r="U15" s="10" t="str">
        <f>IF(Table68103[[#This Row],[Spell Level]]&lt;&gt;"",VLOOKUP(Table68103[[#This Row],[Spell Level]],Table67[],2,FALSE)*1,"")</f>
        <v/>
      </c>
      <c r="X15" s="52" t="str">
        <f>IFERROR(VLOOKUP(Table53109[[#This Row],[Creature]],Enemies[],16,FALSE),"")</f>
        <v/>
      </c>
      <c r="Y15" s="52" t="str">
        <f>IFERROR(Table53109[[#This Row],[XP]]+Y14,"")</f>
        <v/>
      </c>
    </row>
    <row r="16" spans="1:25" ht="15.5" thickTop="1" thickBot="1" x14ac:dyDescent="0.4">
      <c r="A16" s="8"/>
      <c r="C16" s="11"/>
      <c r="D16" s="21"/>
      <c r="E16" s="28"/>
      <c r="F16" s="11"/>
      <c r="H16" s="30"/>
      <c r="M16" s="37"/>
      <c r="X16" s="52" t="str">
        <f>IFERROR(VLOOKUP(Table53109[[#This Row],[Creature]],Enemies[],16,FALSE),"")</f>
        <v/>
      </c>
      <c r="Y16" s="52" t="str">
        <f>Table53109[[#This Row],[XP]]</f>
        <v/>
      </c>
    </row>
    <row r="17" spans="1:13" ht="15.5" thickTop="1" thickBot="1" x14ac:dyDescent="0.4">
      <c r="A17" s="8"/>
      <c r="C17" s="11"/>
      <c r="D17" s="21"/>
      <c r="E17" s="28"/>
      <c r="F17" s="11"/>
      <c r="H17" s="31"/>
      <c r="M17" s="37"/>
    </row>
    <row r="18" spans="1:13" x14ac:dyDescent="0.35">
      <c r="C18" s="11">
        <f>SUM(CreatureTracker88[Current Hitpoints])</f>
        <v>152</v>
      </c>
    </row>
    <row r="20" spans="1:13" x14ac:dyDescent="0.35">
      <c r="A20" s="1" t="s">
        <v>494</v>
      </c>
      <c r="B20" s="9" t="s">
        <v>676</v>
      </c>
      <c r="C20" s="34" t="str">
        <f>CONCATENATE("+",IF(VLOOKUP($B$20,AllyCreatures[],2,FALSE)&gt;VLOOKUP($B$20,AllyCreatures[],3,FALSE),VLOOKUP(VLOOKUP($B$20,AllyCreatures[],2,FALSE),Modifier[],2,FALSE)+VLOOKUP(30,Proficiency[],2,FALSE),VLOOKUP(VLOOKUP($B$20,AllyCreatures[],3,FALSE),Modifier[],2,FALSE)+VLOOKUP(30,Proficiency[],2,FALSE)))</f>
        <v>+12</v>
      </c>
      <c r="D20" s="35">
        <f>Facade!$F$19</f>
        <v>21</v>
      </c>
    </row>
    <row r="21" spans="1:13" x14ac:dyDescent="0.35">
      <c r="A21" s="1"/>
    </row>
    <row r="22" spans="1:13" x14ac:dyDescent="0.35">
      <c r="A22" s="1" t="s">
        <v>493</v>
      </c>
      <c r="B22" s="9" t="s">
        <v>398</v>
      </c>
      <c r="C22" s="34" t="str">
        <f>CONCATENATE("AC: ",VLOOKUP($B$22,Enemies[[Creature ]:[AC]],3,FALSE))</f>
        <v>AC: 15</v>
      </c>
    </row>
    <row r="23" spans="1:13" x14ac:dyDescent="0.35">
      <c r="A23" s="1" t="s">
        <v>500</v>
      </c>
      <c r="B23" s="9" t="s">
        <v>411</v>
      </c>
      <c r="C23" s="10">
        <f>VLOOKUP($B$22,Enemies[],VLOOKUP('Dim Dashboard'!B23,Table65[],2,FALSE),FALSE)</f>
        <v>6</v>
      </c>
    </row>
    <row r="24" spans="1:13" x14ac:dyDescent="0.35">
      <c r="B24" s="36"/>
      <c r="C24" s="36"/>
      <c r="D24" s="36"/>
      <c r="E24" s="36"/>
    </row>
    <row r="25" spans="1:13" x14ac:dyDescent="0.35">
      <c r="A25" s="1"/>
    </row>
    <row r="27" spans="1:13" x14ac:dyDescent="0.35">
      <c r="A27" s="14" t="s">
        <v>546</v>
      </c>
      <c r="B27" s="14" t="s">
        <v>513</v>
      </c>
      <c r="C27" s="14" t="s">
        <v>417</v>
      </c>
      <c r="D27" s="1" t="s">
        <v>502</v>
      </c>
      <c r="E27" s="1" t="s">
        <v>418</v>
      </c>
      <c r="F27" s="1" t="s">
        <v>503</v>
      </c>
      <c r="G27" s="1" t="s">
        <v>420</v>
      </c>
      <c r="H27" s="1" t="s">
        <v>422</v>
      </c>
      <c r="I27" s="1" t="s">
        <v>504</v>
      </c>
    </row>
    <row r="28" spans="1:13" x14ac:dyDescent="0.35">
      <c r="A28" s="44">
        <v>1</v>
      </c>
      <c r="B28" s="42" t="str">
        <f>IFERROR(IF(VLOOKUP(CONCATENATE($B$20,Table69106[[#This Row],[Number]]),Table70[[Move Number]:[Attack Roll or Save]],3,FALSE)="Saving Throw"," ",VLOOKUP(CONCATENATE($B$20,Table69106[[#This Row],[Number]]),Table70[[Move Number]:[Move Name]],2,FALSE))," ")</f>
        <v>Shadowstaff</v>
      </c>
      <c r="C28" s="23">
        <f>IFERROR(VLOOKUP(RIGHT($C$22,2)-VLOOKUP(Table69106[[#This Row],[Move Name]],Table70[[Move Name]:[Bonus to Hit]],4,FALSE),Probability[],3,FALSE),"")</f>
        <v>0.80000000000000016</v>
      </c>
      <c r="D28" s="49">
        <f>IFERROR((VLOOKUP(Table69106[[#This Row],[Move Name]],Table70[[Move Name]:[Average Damage]],14,FALSE)*Table69106[[#This Row],[% to Hit]])+(0.05*VLOOKUP(Table69106[[#This Row],[Move Name]],Table70[[Move Name]:[Average Damage]],14,FALSE)*2)," ")</f>
        <v>9.0000000000000018</v>
      </c>
      <c r="E28" s="23">
        <f>IFERROR(VLOOKUP(RIGHT($C$22,2)-VLOOKUP(Table69106[[#This Row],[Move Name]],Table70[[Move Name]:[Bonus to Hit]],4,FALSE),Probability[],6,FALSE),"")</f>
        <v>0.95999999999999985</v>
      </c>
      <c r="G28" s="49">
        <f>IFERROR((VLOOKUP(Table69106[[#This Row],[Move Name]],Table70[[Move Name]:[Average Damage]],14,FALSE)*Table69106[[#This Row],[% ADV]])+(0.05*VLOOKUP(Table69106[[#This Row],[Move Name]],Table70[[Move Name]:[Average Damage]],14,FALSE)*2)," ")</f>
        <v>10.599999999999998</v>
      </c>
      <c r="H28" s="23">
        <f>IFERROR(VLOOKUP(RIGHT($C$22,2)-VLOOKUP(Table69106[[#This Row],[Move Name]],Table70[[Move Name]:[Bonus to Hit]],4,FALSE),Probability[],9,FALSE),"")</f>
        <v>0.64</v>
      </c>
      <c r="I28" s="49">
        <f>IFERROR((VLOOKUP(Table69106[[#This Row],[Move Name]],Table70[[Move Name]:[Average Damage]],14,FALSE)*Table69106[[#This Row],[% DIS]])+(0.05*VLOOKUP(Table69106[[#This Row],[Move Name]],Table70[[Move Name]:[Average Damage]],14,FALSE)*2)," ")</f>
        <v>7.4</v>
      </c>
    </row>
    <row r="29" spans="1:13" x14ac:dyDescent="0.35">
      <c r="A29" s="45">
        <v>2</v>
      </c>
      <c r="B29" t="str">
        <f>IFERROR(IF(VLOOKUP(CONCATENATE($B$20,Table69106[[#This Row],[Number]]),Table70[[Move Number]:[Attack Roll or Save]],3,FALSE)="Saving Throw"," ",VLOOKUP(CONCATENATE($B$20,Table69106[[#This Row],[Number]]),Table70[[Move Number]:[Move Name]],2,FALSE))," ")</f>
        <v>Unarmed Strike</v>
      </c>
      <c r="C29" s="23">
        <f>IFERROR(VLOOKUP(RIGHT($C$22,2)-VLOOKUP(Table69106[[#This Row],[Move Name]],Table70[[Move Name]:[Bonus to Hit]],4,FALSE),Probability[],3,FALSE),"")</f>
        <v>0.90000000000000024</v>
      </c>
      <c r="D29" s="49">
        <f>IFERROR((VLOOKUP(Table69106[[#This Row],[Move Name]],Table70[[Move Name]:[Average Damage]],14,FALSE)*Table69106[[#This Row],[% to Hit]])+(0.05*VLOOKUP(Table69106[[#This Row],[Move Name]],Table70[[Move Name]:[Average Damage]],14,FALSE)*2)," ")</f>
        <v>8.0000000000000018</v>
      </c>
      <c r="E29" s="23">
        <f>IFERROR(VLOOKUP(RIGHT($C$22,2)-VLOOKUP(Table69106[[#This Row],[Move Name]],Table70[[Move Name]:[Bonus to Hit]],4,FALSE),Probability[],6,FALSE),"")</f>
        <v>0.98999999999999977</v>
      </c>
      <c r="G29" s="49">
        <f>IFERROR((VLOOKUP(Table69106[[#This Row],[Move Name]],Table70[[Move Name]:[Average Damage]],14,FALSE)*Table69106[[#This Row],[% ADV]])+(0.05*VLOOKUP(Table69106[[#This Row],[Move Name]],Table70[[Move Name]:[Average Damage]],14,FALSE)*2)," ")</f>
        <v>8.7199999999999989</v>
      </c>
      <c r="H29" s="47">
        <f>IFERROR(VLOOKUP(RIGHT($C$22,2)-VLOOKUP(Table69106[[#This Row],[Move Name]],Table70[[Move Name]:[Bonus to Hit]],4,FALSE),Probability[],9,FALSE),"")</f>
        <v>0.81</v>
      </c>
      <c r="I29" s="49">
        <f>IFERROR((VLOOKUP(Table69106[[#This Row],[Move Name]],Table70[[Move Name]:[Average Damage]],14,FALSE)*Table69106[[#This Row],[% DIS]])+(0.05*VLOOKUP(Table69106[[#This Row],[Move Name]],Table70[[Move Name]:[Average Damage]],14,FALSE)*2)," ")</f>
        <v>7.28</v>
      </c>
    </row>
    <row r="30" spans="1:13" x14ac:dyDescent="0.35">
      <c r="A30" s="45">
        <v>3</v>
      </c>
      <c r="B30" t="str">
        <f>IFERROR(IF(VLOOKUP(CONCATENATE($B$20,Table69106[[#This Row],[Number]]),Table70[[Move Number]:[Attack Roll or Save]],3,FALSE)="Saving Throw"," ",VLOOKUP(CONCATENATE($B$20,Table69106[[#This Row],[Number]]),Table70[[Move Number]:[Move Name]],2,FALSE))," ")</f>
        <v>Unarmed Strike + Stunning Strike</v>
      </c>
      <c r="C30" s="23">
        <f>IFERROR(VLOOKUP(RIGHT($C$22,2)-VLOOKUP(Table69106[[#This Row],[Move Name]],Table70[[Move Name]:[Bonus to Hit]],4,FALSE),Probability[],3,FALSE),"")</f>
        <v>0.75000000000000011</v>
      </c>
      <c r="D30" s="49">
        <f>IFERROR((VLOOKUP(Table69106[[#This Row],[Move Name]],Table70[[Move Name]:[Average Damage]],14,FALSE)*Table69106[[#This Row],[% to Hit]])+(0.05*VLOOKUP(Table69106[[#This Row],[Move Name]],Table70[[Move Name]:[Average Damage]],14,FALSE)*2)," ")</f>
        <v>7.6500000000000012</v>
      </c>
      <c r="E30" s="23">
        <f>IFERROR(VLOOKUP(RIGHT($C$22,2)-VLOOKUP(Table69106[[#This Row],[Move Name]],Table70[[Move Name]:[Bonus to Hit]],4,FALSE),Probability[],6,FALSE),"")</f>
        <v>0.93749999999999989</v>
      </c>
      <c r="G30" s="49">
        <f>IFERROR((VLOOKUP(Table69106[[#This Row],[Move Name]],Table70[[Move Name]:[Average Damage]],14,FALSE)*Table69106[[#This Row],[% ADV]])+(0.05*VLOOKUP(Table69106[[#This Row],[Move Name]],Table70[[Move Name]:[Average Damage]],14,FALSE)*2)," ")</f>
        <v>9.3374999999999986</v>
      </c>
      <c r="H30" s="47">
        <f>IFERROR(VLOOKUP(RIGHT($C$22,2)-VLOOKUP(Table69106[[#This Row],[Move Name]],Table70[[Move Name]:[Bonus to Hit]],4,FALSE),Probability[],9,FALSE),"")</f>
        <v>0.5625</v>
      </c>
      <c r="I30" s="49">
        <f>IFERROR((VLOOKUP(Table69106[[#This Row],[Move Name]],Table70[[Move Name]:[Average Damage]],14,FALSE)*Table69106[[#This Row],[% DIS]])+(0.05*VLOOKUP(Table69106[[#This Row],[Move Name]],Table70[[Move Name]:[Average Damage]],14,FALSE)*2)," ")</f>
        <v>5.9625000000000004</v>
      </c>
    </row>
    <row r="31" spans="1:13" x14ac:dyDescent="0.35">
      <c r="A31" s="45">
        <v>4</v>
      </c>
      <c r="B31" t="str">
        <f>IFERROR(IF(VLOOKUP(CONCATENATE($B$20,Table69106[[#This Row],[Number]]),Table70[[Move Number]:[Attack Roll or Save]],3,FALSE)="Saving Throw"," ",VLOOKUP(CONCATENATE($B$20,Table69106[[#This Row],[Number]]),Table70[[Move Number]:[Move Name]],2,FALSE))," ")</f>
        <v>Shadowstaff + Stunning Strike</v>
      </c>
      <c r="C31" s="23">
        <f>IFERROR(VLOOKUP(RIGHT($C$22,2)-VLOOKUP(Table69106[[#This Row],[Move Name]],Table70[[Move Name]:[Bonus to Hit]],4,FALSE),Probability[],3,FALSE),"")</f>
        <v>0.80000000000000016</v>
      </c>
      <c r="D31" s="49">
        <f>IFERROR((VLOOKUP(Table69106[[#This Row],[Move Name]],Table70[[Move Name]:[Average Damage]],14,FALSE)*Table69106[[#This Row],[% to Hit]])+(0.05*VLOOKUP(Table69106[[#This Row],[Move Name]],Table70[[Move Name]:[Average Damage]],14,FALSE)*2)," ")</f>
        <v>9.0000000000000018</v>
      </c>
      <c r="E31" s="23">
        <f>IFERROR(VLOOKUP(RIGHT($C$22,2)-VLOOKUP(Table69106[[#This Row],[Move Name]],Table70[[Move Name]:[Bonus to Hit]],4,FALSE),Probability[],6,FALSE),"")</f>
        <v>0.95999999999999985</v>
      </c>
      <c r="G31" s="49">
        <f>IFERROR((VLOOKUP(Table69106[[#This Row],[Move Name]],Table70[[Move Name]:[Average Damage]],14,FALSE)*Table69106[[#This Row],[% ADV]])+(0.05*VLOOKUP(Table69106[[#This Row],[Move Name]],Table70[[Move Name]:[Average Damage]],14,FALSE)*2)," ")</f>
        <v>10.599999999999998</v>
      </c>
      <c r="H31" s="47">
        <f>IFERROR(VLOOKUP(RIGHT($C$22,2)-VLOOKUP(Table69106[[#This Row],[Move Name]],Table70[[Move Name]:[Bonus to Hit]],4,FALSE),Probability[],9,FALSE),"")</f>
        <v>0.64</v>
      </c>
      <c r="I31" s="49">
        <f>IFERROR((VLOOKUP(Table69106[[#This Row],[Move Name]],Table70[[Move Name]:[Average Damage]],14,FALSE)*Table69106[[#This Row],[% DIS]])+(0.05*VLOOKUP(Table69106[[#This Row],[Move Name]],Table70[[Move Name]:[Average Damage]],14,FALSE)*2)," ")</f>
        <v>7.4</v>
      </c>
    </row>
    <row r="32" spans="1:13" x14ac:dyDescent="0.35">
      <c r="A32" s="45">
        <v>5</v>
      </c>
      <c r="B32" t="str">
        <f>IFERROR(IF(VLOOKUP(CONCATENATE($B$20,Table69106[[#This Row],[Number]]),Table70[[Move Number]:[Attack Roll or Save]],3,FALSE)="Saving Throw"," ",VLOOKUP(CONCATENATE($B$20,Table69106[[#This Row],[Number]]),Table70[[Move Number]:[Move Name]],2,FALSE))," ")</f>
        <v>Smoke Bomb Boomerang</v>
      </c>
      <c r="C32" s="23">
        <f>IFERROR(VLOOKUP(RIGHT($C$22,2)-VLOOKUP(Table69106[[#This Row],[Move Name]],Table70[[Move Name]:[Bonus to Hit]],4,FALSE),Probability[],3,FALSE),"")</f>
        <v>0.75000000000000011</v>
      </c>
      <c r="D32" s="49">
        <f>IFERROR((VLOOKUP(Table69106[[#This Row],[Move Name]],Table70[[Move Name]:[Average Damage]],14,FALSE)*Table69106[[#This Row],[% to Hit]])+(0.05*VLOOKUP(Table69106[[#This Row],[Move Name]],Table70[[Move Name]:[Average Damage]],14,FALSE)*2)," ")</f>
        <v>5.9500000000000011</v>
      </c>
      <c r="E32" s="23">
        <f>IFERROR(VLOOKUP(RIGHT($C$22,2)-VLOOKUP(Table69106[[#This Row],[Move Name]],Table70[[Move Name]:[Bonus to Hit]],4,FALSE),Probability[],6,FALSE),"")</f>
        <v>0.93749999999999989</v>
      </c>
      <c r="G32" s="49">
        <f>IFERROR((VLOOKUP(Table69106[[#This Row],[Move Name]],Table70[[Move Name]:[Average Damage]],14,FALSE)*Table69106[[#This Row],[% ADV]])+(0.05*VLOOKUP(Table69106[[#This Row],[Move Name]],Table70[[Move Name]:[Average Damage]],14,FALSE)*2)," ")</f>
        <v>7.2624999999999993</v>
      </c>
      <c r="H32" s="47">
        <f>IFERROR(VLOOKUP(RIGHT($C$22,2)-VLOOKUP(Table69106[[#This Row],[Move Name]],Table70[[Move Name]:[Bonus to Hit]],4,FALSE),Probability[],9,FALSE),"")</f>
        <v>0.5625</v>
      </c>
      <c r="I32" s="49">
        <f>IFERROR((VLOOKUP(Table69106[[#This Row],[Move Name]],Table70[[Move Name]:[Average Damage]],14,FALSE)*Table69106[[#This Row],[% DIS]])+(0.05*VLOOKUP(Table69106[[#This Row],[Move Name]],Table70[[Move Name]:[Average Damage]],14,FALSE)*2)," ")</f>
        <v>4.6375000000000002</v>
      </c>
    </row>
    <row r="33" spans="1:15" x14ac:dyDescent="0.35">
      <c r="A33" s="45">
        <v>6</v>
      </c>
      <c r="B33" t="str">
        <f>IFERROR(IF(VLOOKUP(CONCATENATE($B$20,Table69106[[#This Row],[Number]]),Table70[[Move Number]:[Attack Roll or Save]],3,FALSE)="Saving Throw"," ",VLOOKUP(CONCATENATE($B$20,Table69106[[#This Row],[Number]]),Table70[[Move Number]:[Move Name]],2,FALSE))," ")</f>
        <v xml:space="preserve"> </v>
      </c>
      <c r="C33" s="47" t="str">
        <f>IFERROR(VLOOKUP(RIGHT($C$22,2)-VLOOKUP(Table69106[[#This Row],[Move Name]],Table70[[Move Name]:[Bonus to Hit]],4,FALSE),Probability[],3,FALSE),"")</f>
        <v/>
      </c>
      <c r="D33" s="49" t="str">
        <f>IFERROR((VLOOKUP(Table69106[[#This Row],[Move Name]],Table70[[Move Name]:[Average Damage]],14,FALSE)*Table69106[[#This Row],[% to Hit]])+(0.05*VLOOKUP(Table69106[[#This Row],[Move Name]],Table70[[Move Name]:[Average Damage]],14,FALSE)*2)," ")</f>
        <v xml:space="preserve"> </v>
      </c>
      <c r="E33" s="23" t="str">
        <f>IFERROR(VLOOKUP(RIGHT($C$22,2)-VLOOKUP(Table69106[[#This Row],[Move Name]],Table70[[Move Name]:[Bonus to Hit]],4,FALSE),Probability[],6,FALSE),"")</f>
        <v/>
      </c>
      <c r="G33" s="49" t="str">
        <f>IFERROR((VLOOKUP(Table69106[[#This Row],[Move Name]],Table70[[Move Name]:[Average Damage]],14,FALSE)*Table69106[[#This Row],[% ADV]])+(0.05*VLOOKUP(Table69106[[#This Row],[Move Name]],Table70[[Move Name]:[Average Damage]],14,FALSE)*2)," ")</f>
        <v xml:space="preserve"> </v>
      </c>
      <c r="H33" s="47" t="str">
        <f>IFERROR(VLOOKUP(RIGHT($C$22,2)-VLOOKUP(Table69106[[#This Row],[Move Name]],Table70[[Move Name]:[Bonus to Hit]],4,FALSE),Probability[],9,FALSE),"")</f>
        <v/>
      </c>
      <c r="I33" s="49" t="str">
        <f>IFERROR((VLOOKUP(Table69106[[#This Row],[Move Name]],Table70[[Move Name]:[Average Damage]],14,FALSE)*Table69106[[#This Row],[% DIS]])+(0.05*VLOOKUP(Table69106[[#This Row],[Move Name]],Table70[[Move Name]:[Average Damage]],14,FALSE)*2)," ")</f>
        <v xml:space="preserve"> </v>
      </c>
    </row>
    <row r="34" spans="1:15" x14ac:dyDescent="0.35">
      <c r="A34" s="45">
        <v>7</v>
      </c>
      <c r="B34" t="str">
        <f>IFERROR(IF(VLOOKUP(CONCATENATE($B$20,Table69106[[#This Row],[Number]]),Table70[[Move Number]:[Attack Roll or Save]],3,FALSE)="Saving Throw"," ",VLOOKUP(CONCATENATE($B$20,Table69106[[#This Row],[Number]]),Table70[[Move Number]:[Move Name]],2,FALSE))," ")</f>
        <v xml:space="preserve"> </v>
      </c>
      <c r="C34" s="47" t="str">
        <f>IFERROR(VLOOKUP(RIGHT($C$22,2)-VLOOKUP(Table69106[[#This Row],[Move Name]],Table70[[Move Name]:[Bonus to Hit]],4,FALSE),Probability[],3,FALSE),"")</f>
        <v/>
      </c>
      <c r="D34" s="49" t="str">
        <f>IFERROR((VLOOKUP(Table69106[[#This Row],[Move Name]],Table70[[Move Name]:[Average Damage]],14,FALSE)*Table69106[[#This Row],[% to Hit]])+(0.05*VLOOKUP(Table69106[[#This Row],[Move Name]],Table70[[Move Name]:[Average Damage]],14,FALSE)*2)," ")</f>
        <v xml:space="preserve"> </v>
      </c>
      <c r="E34" s="23" t="str">
        <f>IFERROR(VLOOKUP(RIGHT($C$22,2)-VLOOKUP(Table69106[[#This Row],[Move Name]],Table70[[Move Name]:[Bonus to Hit]],4,FALSE),Probability[],6,FALSE),"")</f>
        <v/>
      </c>
      <c r="G34" s="49" t="str">
        <f>IFERROR((VLOOKUP(Table69106[[#This Row],[Move Name]],Table70[[Move Name]:[Average Damage]],14,FALSE)*Table69106[[#This Row],[% ADV]])+(0.05*VLOOKUP(Table69106[[#This Row],[Move Name]],Table70[[Move Name]:[Average Damage]],14,FALSE)*2)," ")</f>
        <v xml:space="preserve"> </v>
      </c>
      <c r="H34" s="47" t="str">
        <f>IFERROR(VLOOKUP(RIGHT($C$22,2)-VLOOKUP(Table69106[[#This Row],[Move Name]],Table70[[Move Name]:[Bonus to Hit]],4,FALSE),Probability[],9,FALSE),"")</f>
        <v/>
      </c>
      <c r="I34" s="49" t="str">
        <f>IFERROR((VLOOKUP(Table69106[[#This Row],[Move Name]],Table70[[Move Name]:[Average Damage]],14,FALSE)*Table69106[[#This Row],[% DIS]])+(0.05*VLOOKUP(Table69106[[#This Row],[Move Name]],Table70[[Move Name]:[Average Damage]],14,FALSE)*2)," ")</f>
        <v xml:space="preserve"> </v>
      </c>
    </row>
    <row r="35" spans="1:15" x14ac:dyDescent="0.35">
      <c r="A35" s="45">
        <v>8</v>
      </c>
      <c r="B35" s="2" t="str">
        <f>IFERROR(IF(VLOOKUP(CONCATENATE($B$20,Table69106[[#This Row],[Number]]),Table70[[Move Number]:[Attack Roll or Save]],3,FALSE)="Saving Throw"," ",VLOOKUP(CONCATENATE($B$20,Table69106[[#This Row],[Number]]),Table70[[Move Number]:[Move Name]],2,FALSE))," ")</f>
        <v xml:space="preserve"> </v>
      </c>
      <c r="C35" s="47" t="str">
        <f>IFERROR(VLOOKUP(RIGHT($C$22,2)-VLOOKUP(Table69106[[#This Row],[Move Name]],Table70[[Move Name]:[Bonus to Hit]],4,FALSE),Probability[],3,FALSE),"")</f>
        <v/>
      </c>
      <c r="D35" s="49" t="str">
        <f>IFERROR((VLOOKUP(Table69106[[#This Row],[Move Name]],Table70[[Move Name]:[Average Damage]],14,FALSE)*Table69106[[#This Row],[% to Hit]])+(0.05*VLOOKUP(Table69106[[#This Row],[Move Name]],Table70[[Move Name]:[Average Damage]],14,FALSE)*2)," ")</f>
        <v xml:space="preserve"> </v>
      </c>
      <c r="E35" s="23" t="str">
        <f>IFERROR(VLOOKUP(RIGHT($C$22,2)-VLOOKUP(Table69106[[#This Row],[Move Name]],Table70[[Move Name]:[Bonus to Hit]],4,FALSE),Probability[],6,FALSE),"")</f>
        <v/>
      </c>
      <c r="G35" s="49" t="str">
        <f>IFERROR((VLOOKUP(Table69106[[#This Row],[Move Name]],Table70[[Move Name]:[Average Damage]],14,FALSE)*Table69106[[#This Row],[% ADV]])+(0.05*VLOOKUP(Table69106[[#This Row],[Move Name]],Table70[[Move Name]:[Average Damage]],14,FALSE)*2)," ")</f>
        <v xml:space="preserve"> </v>
      </c>
      <c r="H35" s="47" t="str">
        <f>IFERROR(VLOOKUP(RIGHT($C$22,2)-VLOOKUP(Table69106[[#This Row],[Move Name]],Table70[[Move Name]:[Bonus to Hit]],4,FALSE),Probability[],9,FALSE),"")</f>
        <v/>
      </c>
      <c r="I35" s="49" t="str">
        <f>IFERROR((VLOOKUP(Table69106[[#This Row],[Move Name]],Table70[[Move Name]:[Average Damage]],14,FALSE)*Table69106[[#This Row],[% DIS]])+(0.05*VLOOKUP(Table69106[[#This Row],[Move Name]],Table70[[Move Name]:[Average Damage]],14,FALSE)*2)," ")</f>
        <v xml:space="preserve"> </v>
      </c>
    </row>
    <row r="36" spans="1:15" x14ac:dyDescent="0.35">
      <c r="A36" s="45">
        <v>9</v>
      </c>
      <c r="B36" s="2" t="str">
        <f>IFERROR(IF(VLOOKUP(CONCATENATE($B$20,Table69106[[#This Row],[Number]]),Table70[[Move Number]:[Attack Roll or Save]],3,FALSE)="Saving Throw"," ",VLOOKUP(CONCATENATE($B$20,Table69106[[#This Row],[Number]]),Table70[[Move Number]:[Move Name]],2,FALSE))," ")</f>
        <v xml:space="preserve"> </v>
      </c>
      <c r="C36" s="47" t="str">
        <f>IFERROR(VLOOKUP(RIGHT($C$22,2)-VLOOKUP(Table69106[[#This Row],[Move Name]],Table70[[Move Name]:[Bonus to Hit]],4,FALSE),Probability[],3,FALSE),"")</f>
        <v/>
      </c>
      <c r="D36" s="49" t="str">
        <f>IFERROR((VLOOKUP(Table69106[[#This Row],[Move Name]],Table70[[Move Name]:[Average Damage]],14,FALSE)*Table69106[[#This Row],[% to Hit]])+(0.05*VLOOKUP(Table69106[[#This Row],[Move Name]],Table70[[Move Name]:[Average Damage]],14,FALSE)*2)," ")</f>
        <v xml:space="preserve"> </v>
      </c>
      <c r="E36" s="23" t="str">
        <f>IFERROR(VLOOKUP(RIGHT($C$22,2)-VLOOKUP(Table69106[[#This Row],[Move Name]],Table70[[Move Name]:[Bonus to Hit]],4,FALSE),Probability[],6,FALSE),"")</f>
        <v/>
      </c>
      <c r="G36" s="49" t="str">
        <f>IFERROR((VLOOKUP(Table69106[[#This Row],[Move Name]],Table70[[Move Name]:[Average Damage]],14,FALSE)*Table69106[[#This Row],[% ADV]])+(0.05*VLOOKUP(Table69106[[#This Row],[Move Name]],Table70[[Move Name]:[Average Damage]],14,FALSE)*2)," ")</f>
        <v xml:space="preserve"> </v>
      </c>
      <c r="H36" s="47" t="str">
        <f>IFERROR(VLOOKUP(RIGHT($C$22,2)-VLOOKUP(Table69106[[#This Row],[Move Name]],Table70[[Move Name]:[Bonus to Hit]],4,FALSE),Probability[],9,FALSE),"")</f>
        <v/>
      </c>
      <c r="I36" s="49" t="str">
        <f>IFERROR((VLOOKUP(Table69106[[#This Row],[Move Name]],Table70[[Move Name]:[Average Damage]],14,FALSE)*Table69106[[#This Row],[% DIS]])+(0.05*VLOOKUP(Table69106[[#This Row],[Move Name]],Table70[[Move Name]:[Average Damage]],14,FALSE)*2)," ")</f>
        <v xml:space="preserve"> </v>
      </c>
    </row>
    <row r="37" spans="1:15" x14ac:dyDescent="0.35">
      <c r="A37" s="45">
        <v>10</v>
      </c>
      <c r="B37" s="2" t="str">
        <f>IFERROR(IF(VLOOKUP(CONCATENATE($B$20,Table69106[[#This Row],[Number]]),Table70[[Move Number]:[Attack Roll or Save]],3,FALSE)="Saving Throw"," ",VLOOKUP(CONCATENATE($B$20,Table69106[[#This Row],[Number]]),Table70[[Move Number]:[Move Name]],2,FALSE))," ")</f>
        <v xml:space="preserve"> </v>
      </c>
      <c r="C37" s="47" t="str">
        <f>IFERROR(VLOOKUP(RIGHT($C$22,2)-VLOOKUP(Table69106[[#This Row],[Move Name]],Table70[[Move Name]:[Bonus to Hit]],4,FALSE),Probability[],3,FALSE),"")</f>
        <v/>
      </c>
      <c r="D37" s="49" t="str">
        <f>IFERROR((VLOOKUP(Table69106[[#This Row],[Move Name]],Table70[[Move Name]:[Average Damage]],14,FALSE)*Table69106[[#This Row],[% to Hit]])+(0.05*VLOOKUP(Table69106[[#This Row],[Move Name]],Table70[[Move Name]:[Average Damage]],14,FALSE)*2)," ")</f>
        <v xml:space="preserve"> </v>
      </c>
      <c r="E37" s="23" t="str">
        <f>IFERROR(VLOOKUP(RIGHT($C$22,2)-VLOOKUP(Table69106[[#This Row],[Move Name]],Table70[[Move Name]:[Bonus to Hit]],4,FALSE),Probability[],6,FALSE),"")</f>
        <v/>
      </c>
      <c r="G37" s="49" t="str">
        <f>IFERROR((VLOOKUP(Table69106[[#This Row],[Move Name]],Table70[[Move Name]:[Average Damage]],14,FALSE)*Table69106[[#This Row],[% ADV]])+(0.05*VLOOKUP(Table69106[[#This Row],[Move Name]],Table70[[Move Name]:[Average Damage]],14,FALSE)*2)," ")</f>
        <v xml:space="preserve"> </v>
      </c>
      <c r="H37" s="47" t="str">
        <f>IFERROR(VLOOKUP(RIGHT($C$22,2)-VLOOKUP(Table69106[[#This Row],[Move Name]],Table70[[Move Name]:[Bonus to Hit]],4,FALSE),Probability[],9,FALSE),"")</f>
        <v/>
      </c>
      <c r="I37" s="49" t="str">
        <f>IFERROR((VLOOKUP(Table69106[[#This Row],[Move Name]],Table70[[Move Name]:[Average Damage]],14,FALSE)*Table69106[[#This Row],[% DIS]])+(0.05*VLOOKUP(Table69106[[#This Row],[Move Name]],Table70[[Move Name]:[Average Damage]],14,FALSE)*2)," ")</f>
        <v xml:space="preserve"> </v>
      </c>
    </row>
    <row r="38" spans="1:15" x14ac:dyDescent="0.35">
      <c r="A38" s="45">
        <v>11</v>
      </c>
      <c r="B38" s="2" t="str">
        <f>IFERROR(IF(VLOOKUP(CONCATENATE($B$20,Table69106[[#This Row],[Number]]),Table70[[Move Number]:[Attack Roll or Save]],3,FALSE)="Saving Throw"," ",VLOOKUP(CONCATENATE($B$20,Table69106[[#This Row],[Number]]),Table70[[Move Number]:[Move Name]],2,FALSE))," ")</f>
        <v xml:space="preserve"> </v>
      </c>
      <c r="C38" s="47" t="str">
        <f>IFERROR(VLOOKUP(RIGHT($C$22,2)-VLOOKUP(Table69106[[#This Row],[Move Name]],Table70[[Move Name]:[Bonus to Hit]],4,FALSE),Probability[],3,FALSE),"")</f>
        <v/>
      </c>
      <c r="D38" s="49" t="str">
        <f>IFERROR((VLOOKUP(Table69106[[#This Row],[Move Name]],Table70[[Move Name]:[Average Damage]],14,FALSE)*Table69106[[#This Row],[% to Hit]])+(0.05*VLOOKUP(Table69106[[#This Row],[Move Name]],Table70[[Move Name]:[Average Damage]],14,FALSE)*2)," ")</f>
        <v xml:space="preserve"> </v>
      </c>
      <c r="E38" s="23" t="str">
        <f>IFERROR(VLOOKUP(RIGHT($C$22,2)-VLOOKUP(Table69106[[#This Row],[Move Name]],Table70[[Move Name]:[Bonus to Hit]],4,FALSE),Probability[],6,FALSE),"")</f>
        <v/>
      </c>
      <c r="G38" s="49" t="str">
        <f>IFERROR((VLOOKUP(Table69106[[#This Row],[Move Name]],Table70[[Move Name]:[Average Damage]],14,FALSE)*Table69106[[#This Row],[% ADV]])+(0.05*VLOOKUP(Table69106[[#This Row],[Move Name]],Table70[[Move Name]:[Average Damage]],14,FALSE)*2)," ")</f>
        <v xml:space="preserve"> </v>
      </c>
      <c r="H38" s="47" t="str">
        <f>IFERROR(VLOOKUP(RIGHT($C$22,2)-VLOOKUP(Table69106[[#This Row],[Move Name]],Table70[[Move Name]:[Bonus to Hit]],4,FALSE),Probability[],9,FALSE),"")</f>
        <v/>
      </c>
      <c r="I38" s="49" t="str">
        <f>IFERROR((VLOOKUP(Table69106[[#This Row],[Move Name]],Table70[[Move Name]:[Average Damage]],14,FALSE)*Table69106[[#This Row],[% DIS]])+(0.05*VLOOKUP(Table69106[[#This Row],[Move Name]],Table70[[Move Name]:[Average Damage]],14,FALSE)*2)," ")</f>
        <v xml:space="preserve"> </v>
      </c>
    </row>
    <row r="39" spans="1:15" x14ac:dyDescent="0.35">
      <c r="A39" s="45">
        <v>12</v>
      </c>
      <c r="B39" s="2" t="str">
        <f>IFERROR(IF(VLOOKUP(CONCATENATE($B$20,Table69106[[#This Row],[Number]]),Table70[[Move Number]:[Attack Roll or Save]],3,FALSE)="Saving Throw"," ",VLOOKUP(CONCATENATE($B$20,Table69106[[#This Row],[Number]]),Table70[[Move Number]:[Move Name]],2,FALSE))," ")</f>
        <v xml:space="preserve"> </v>
      </c>
      <c r="C39" s="47" t="str">
        <f>IFERROR(VLOOKUP(RIGHT($C$22,2)-VLOOKUP(Table69106[[#This Row],[Move Name]],Table70[[Move Name]:[Bonus to Hit]],4,FALSE),Probability[],3,FALSE),"")</f>
        <v/>
      </c>
      <c r="D39" s="49" t="str">
        <f>IFERROR((VLOOKUP(Table69106[[#This Row],[Move Name]],Table70[[Move Name]:[Average Damage]],14,FALSE)*Table69106[[#This Row],[% to Hit]])+(0.05*VLOOKUP(Table69106[[#This Row],[Move Name]],Table70[[Move Name]:[Average Damage]],14,FALSE)*2)," ")</f>
        <v xml:space="preserve"> </v>
      </c>
      <c r="E39" s="23" t="str">
        <f>IFERROR(VLOOKUP(RIGHT($C$22,2)-VLOOKUP(Table69106[[#This Row],[Move Name]],Table70[[Move Name]:[Bonus to Hit]],4,FALSE),Probability[],6,FALSE),"")</f>
        <v/>
      </c>
      <c r="G39" s="49" t="str">
        <f>IFERROR((VLOOKUP(Table69106[[#This Row],[Move Name]],Table70[[Move Name]:[Average Damage]],14,FALSE)*Table69106[[#This Row],[% ADV]])+(0.05*VLOOKUP(Table69106[[#This Row],[Move Name]],Table70[[Move Name]:[Average Damage]],14,FALSE)*2)," ")</f>
        <v xml:space="preserve"> </v>
      </c>
      <c r="H39" s="47" t="str">
        <f>IFERROR(VLOOKUP(RIGHT($C$22,2)-VLOOKUP(Table69106[[#This Row],[Move Name]],Table70[[Move Name]:[Bonus to Hit]],4,FALSE),Probability[],9,FALSE),"")</f>
        <v/>
      </c>
      <c r="I39" s="49" t="str">
        <f>IFERROR((VLOOKUP(Table69106[[#This Row],[Move Name]],Table70[[Move Name]:[Average Damage]],14,FALSE)*Table69106[[#This Row],[% DIS]])+(0.05*VLOOKUP(Table69106[[#This Row],[Move Name]],Table70[[Move Name]:[Average Damage]],14,FALSE)*2)," ")</f>
        <v xml:space="preserve"> </v>
      </c>
    </row>
    <row r="40" spans="1:15" x14ac:dyDescent="0.35">
      <c r="A40" s="45">
        <v>13</v>
      </c>
      <c r="B40" s="2" t="str">
        <f>IFERROR(IF(VLOOKUP(CONCATENATE($B$20,Table69106[[#This Row],[Number]]),Table70[[Move Number]:[Attack Roll or Save]],3,FALSE)="Saving Throw"," ",VLOOKUP(CONCATENATE($B$20,Table69106[[#This Row],[Number]]),Table70[[Move Number]:[Move Name]],2,FALSE))," ")</f>
        <v xml:space="preserve"> </v>
      </c>
      <c r="C40" s="47" t="str">
        <f>IFERROR(VLOOKUP(RIGHT($C$22,2)-VLOOKUP(Table69106[[#This Row],[Move Name]],Table70[[Move Name]:[Bonus to Hit]],4,FALSE),Probability[],3,FALSE),"")</f>
        <v/>
      </c>
      <c r="D40" s="49" t="str">
        <f>IFERROR((VLOOKUP(Table69106[[#This Row],[Move Name]],Table70[[Move Name]:[Average Damage]],14,FALSE)*Table69106[[#This Row],[% to Hit]])+(0.05*VLOOKUP(Table69106[[#This Row],[Move Name]],Table70[[Move Name]:[Average Damage]],14,FALSE)*2)," ")</f>
        <v xml:space="preserve"> </v>
      </c>
      <c r="E40" s="23" t="str">
        <f>IFERROR(VLOOKUP(RIGHT($C$22,2)-VLOOKUP(Table69106[[#This Row],[Move Name]],Table70[[Move Name]:[Bonus to Hit]],4,FALSE),Probability[],6,FALSE),"")</f>
        <v/>
      </c>
      <c r="G40" s="49" t="str">
        <f>IFERROR((VLOOKUP(Table69106[[#This Row],[Move Name]],Table70[[Move Name]:[Average Damage]],14,FALSE)*Table69106[[#This Row],[% ADV]])+(0.05*VLOOKUP(Table69106[[#This Row],[Move Name]],Table70[[Move Name]:[Average Damage]],14,FALSE)*2)," ")</f>
        <v xml:space="preserve"> </v>
      </c>
      <c r="H40" s="47" t="str">
        <f>IFERROR(VLOOKUP(RIGHT($C$22,2)-VLOOKUP(Table69106[[#This Row],[Move Name]],Table70[[Move Name]:[Bonus to Hit]],4,FALSE),Probability[],9,FALSE),"")</f>
        <v/>
      </c>
      <c r="I40" s="49" t="str">
        <f>IFERROR((VLOOKUP(Table69106[[#This Row],[Move Name]],Table70[[Move Name]:[Average Damage]],14,FALSE)*Table69106[[#This Row],[% DIS]])+(0.05*VLOOKUP(Table69106[[#This Row],[Move Name]],Table70[[Move Name]:[Average Damage]],14,FALSE)*2)," ")</f>
        <v xml:space="preserve"> </v>
      </c>
    </row>
    <row r="41" spans="1:15" x14ac:dyDescent="0.35">
      <c r="A41" s="45">
        <v>14</v>
      </c>
      <c r="B41" s="2" t="str">
        <f>IFERROR(IF(VLOOKUP(CONCATENATE($B$20,Table69106[[#This Row],[Number]]),Table70[[Move Number]:[Attack Roll or Save]],3,FALSE)="Saving Throw"," ",VLOOKUP(CONCATENATE($B$20,Table69106[[#This Row],[Number]]),Table70[[Move Number]:[Move Name]],2,FALSE))," ")</f>
        <v xml:space="preserve"> </v>
      </c>
      <c r="C41" s="47" t="str">
        <f>IFERROR(VLOOKUP(RIGHT($C$22,2)-VLOOKUP(Table69106[[#This Row],[Move Name]],Table70[[Move Name]:[Bonus to Hit]],4,FALSE),Probability[],3,FALSE),"")</f>
        <v/>
      </c>
      <c r="D41" s="49" t="str">
        <f>IFERROR((VLOOKUP(Table69106[[#This Row],[Move Name]],Table70[[Move Name]:[Average Damage]],14,FALSE)*Table69106[[#This Row],[% to Hit]])+(0.05*VLOOKUP(Table69106[[#This Row],[Move Name]],Table70[[Move Name]:[Average Damage]],14,FALSE)*2)," ")</f>
        <v xml:space="preserve"> </v>
      </c>
      <c r="E41" s="23" t="str">
        <f>IFERROR(VLOOKUP(RIGHT($C$22,2)-VLOOKUP(Table69106[[#This Row],[Move Name]],Table70[[Move Name]:[Bonus to Hit]],4,FALSE),Probability[],6,FALSE),"")</f>
        <v/>
      </c>
      <c r="G41" s="49" t="str">
        <f>IFERROR((VLOOKUP(Table69106[[#This Row],[Move Name]],Table70[[Move Name]:[Average Damage]],14,FALSE)*Table69106[[#This Row],[% ADV]])+(0.05*VLOOKUP(Table69106[[#This Row],[Move Name]],Table70[[Move Name]:[Average Damage]],14,FALSE)*2)," ")</f>
        <v xml:space="preserve"> </v>
      </c>
      <c r="H41" s="47" t="str">
        <f>IFERROR(VLOOKUP(RIGHT($C$22,2)-VLOOKUP(Table69106[[#This Row],[Move Name]],Table70[[Move Name]:[Bonus to Hit]],4,FALSE),Probability[],9,FALSE),"")</f>
        <v/>
      </c>
      <c r="I41" s="49" t="str">
        <f>IFERROR((VLOOKUP(Table69106[[#This Row],[Move Name]],Table70[[Move Name]:[Average Damage]],14,FALSE)*Table69106[[#This Row],[% DIS]])+(0.05*VLOOKUP(Table69106[[#This Row],[Move Name]],Table70[[Move Name]:[Average Damage]],14,FALSE)*2)," ")</f>
        <v xml:space="preserve"> </v>
      </c>
    </row>
    <row r="42" spans="1:15" x14ac:dyDescent="0.35">
      <c r="A42" s="45">
        <v>15</v>
      </c>
      <c r="B42" s="2" t="str">
        <f>IFERROR(IF(VLOOKUP(CONCATENATE($B$20,Table69106[[#This Row],[Number]]),Table70[[Move Number]:[Attack Roll or Save]],3,FALSE)="Saving Throw"," ",VLOOKUP(CONCATENATE($B$20,Table69106[[#This Row],[Number]]),Table70[[Move Number]:[Move Name]],2,FALSE))," ")</f>
        <v xml:space="preserve"> </v>
      </c>
      <c r="C42" s="47" t="str">
        <f>IFERROR(VLOOKUP(RIGHT($C$22,2)-VLOOKUP(Table69106[[#This Row],[Move Name]],Table70[[Move Name]:[Bonus to Hit]],4,FALSE),Probability[],3,FALSE),"")</f>
        <v/>
      </c>
      <c r="D42" s="49" t="str">
        <f>IFERROR((VLOOKUP(Table69106[[#This Row],[Move Name]],Table70[[Move Name]:[Average Damage]],14,FALSE)*Table69106[[#This Row],[% to Hit]])+(0.05*VLOOKUP(Table69106[[#This Row],[Move Name]],Table70[[Move Name]:[Average Damage]],14,FALSE)*2)," ")</f>
        <v xml:space="preserve"> </v>
      </c>
      <c r="E42" s="23" t="str">
        <f>IFERROR(VLOOKUP(RIGHT($C$22,2)-VLOOKUP(Table69106[[#This Row],[Move Name]],Table70[[Move Name]:[Bonus to Hit]],4,FALSE),Probability[],6,FALSE),"")</f>
        <v/>
      </c>
      <c r="G42" s="49" t="str">
        <f>IFERROR((VLOOKUP(Table69106[[#This Row],[Move Name]],Table70[[Move Name]:[Average Damage]],14,FALSE)*Table69106[[#This Row],[% ADV]])+(0.05*VLOOKUP(Table69106[[#This Row],[Move Name]],Table70[[Move Name]:[Average Damage]],14,FALSE)*2)," ")</f>
        <v xml:space="preserve"> </v>
      </c>
      <c r="H42" s="47" t="str">
        <f>IFERROR(VLOOKUP(RIGHT($C$22,2)-VLOOKUP(Table69106[[#This Row],[Move Name]],Table70[[Move Name]:[Bonus to Hit]],4,FALSE),Probability[],9,FALSE),"")</f>
        <v/>
      </c>
      <c r="I42" s="49" t="str">
        <f>IFERROR((VLOOKUP(Table69106[[#This Row],[Move Name]],Table70[[Move Name]:[Average Damage]],14,FALSE)*Table69106[[#This Row],[% DIS]])+(0.05*VLOOKUP(Table69106[[#This Row],[Move Name]],Table70[[Move Name]:[Average Damage]],14,FALSE)*2)," ")</f>
        <v xml:space="preserve"> </v>
      </c>
    </row>
    <row r="43" spans="1:15" x14ac:dyDescent="0.35">
      <c r="A43" t="s">
        <v>548</v>
      </c>
      <c r="B43" t="s">
        <v>513</v>
      </c>
      <c r="C43" t="s">
        <v>549</v>
      </c>
      <c r="D43" t="s">
        <v>502</v>
      </c>
      <c r="E43" t="s">
        <v>550</v>
      </c>
      <c r="F43" t="s">
        <v>112</v>
      </c>
      <c r="G43" t="s">
        <v>420</v>
      </c>
      <c r="H43" t="s">
        <v>551</v>
      </c>
      <c r="I43" t="s">
        <v>421</v>
      </c>
      <c r="K43" t="s">
        <v>546</v>
      </c>
      <c r="L43" t="s">
        <v>513</v>
      </c>
      <c r="M43" t="s">
        <v>650</v>
      </c>
      <c r="N43" t="s">
        <v>422</v>
      </c>
      <c r="O43" t="s">
        <v>418</v>
      </c>
    </row>
    <row r="44" spans="1:15" x14ac:dyDescent="0.35">
      <c r="A44" s="46">
        <v>1</v>
      </c>
      <c r="B44" t="str">
        <f>IFERROR(IF(VLOOKUP(CONCATENATE($B$20,Table82107[[#This Row],[Number ]]),Table70[[Move Number]:[Attack Roll or Save]],3,FALSE)="Attack Roll"," ",VLOOKUP(CONCATENATE($B$20,Table82107[[#This Row],[Number ]]),Table70[[Move Number]:[Move Name]],2,FALSE))," ")</f>
        <v xml:space="preserve"> </v>
      </c>
      <c r="C44" s="21" t="str">
        <f>IFERROR(VLOOKUP(VLOOKUP(Table82107[[#This Row],[Move Name]],Table70[[Move Name]:[Save DC]],6,FALSE)-VLOOKUP('Facade Dashboard'!$B$22,'Rules of the Game'!$V$3:$AJ$14,MATCH(VLOOKUP(Table82107[[#This Row],[Move Name]],Table70[[Move Name]:[Save Type]],5,FALSE),Enemies[#Headers],0),FALSE),'Rules of the Game'!$G$88:$T$108,4,FALSE),"")</f>
        <v/>
      </c>
      <c r="D44" t="str">
        <f>IFERROR((VLOOKUP(Table82107[[#This Row],[Move Name]],Table70[[Move Name]:[Average Damage]],14,FALSE)*Table82107[[#This Row],[% Creature Fails]])+(0.05*VLOOKUP(Table82107[[#This Row],[Move Name]],Table70[[Move Name]:[Average Damage]],14,FALSE)*2),"")</f>
        <v/>
      </c>
      <c r="E44" s="21" t="str">
        <f>IFERROR(VLOOKUP(VLOOKUP(Table82107[[#This Row],[Move Name]],Table70[[Move Name]:[Save DC]],6,FALSE)-VLOOKUP('Facade Dashboard'!$B$22,'Rules of the Game'!$V$3:$AJ$14,MATCH(VLOOKUP(Table82107[[#This Row],[Move Name]],Table70[[Move Name]:[Save Type]],5,FALSE),Enemies[#Headers],0),FALSE),'Rules of the Game'!$G$88:$T$108,7,FALSE),"")</f>
        <v/>
      </c>
      <c r="G44" t="str">
        <f>IFERROR((VLOOKUP(Table82107[[#This Row],[Move Name]],Table70[[Move Name]:[Average Damage]],14,FALSE)*Table82107[[#This Row],[% Creature Fails w/ ADV]])+(0.05*VLOOKUP(Table82107[[#This Row],[Move Name]],Table70[[Move Name]:[Average Damage]],14,FALSE)*2),"")</f>
        <v/>
      </c>
      <c r="H44" s="21" t="str">
        <f>IFERROR(VLOOKUP(VLOOKUP(Table82107[[#This Row],[Move Name]],Table70[[Move Name]:[Save DC]],6,FALSE)-VLOOKUP('Facade Dashboard'!$B$22,'Rules of the Game'!$V$3:$AJ$14,MATCH(VLOOKUP(Table82107[[#This Row],[Move Name]],Table70[[Move Name]:[Save Type]],5,FALSE),Enemies[#Headers],0),FALSE),'Rules of the Game'!$G$88:$T$108,10,FALSE),"")</f>
        <v/>
      </c>
      <c r="I44" t="str">
        <f>IFERROR((VLOOKUP(Table82107[[#This Row],[Move Name]],Table70[[Move Name]:[Average Damage]],14,FALSE)*Table82107[[#This Row],[% Creature Fails with DIS]])+(0.05*VLOOKUP(Table82107[[#This Row],[Move Name]],Table70[[Move Name]:[Average Damage]],14,FALSE)*2),"")</f>
        <v/>
      </c>
      <c r="K44">
        <v>1</v>
      </c>
      <c r="L44" t="str">
        <f>IFERROR(IF(VLOOKUP(CONCATENATE($B$22,Table99110[[#This Row],[Number]]),Table100[[Move Number]:[Attack Roll or Save]],3,FALSE)="Saving Throw","",VLOOKUP(CONCATENATE($B$22,Table99110[[#This Row],[Number]]),Table100[[Move Number]:[Move Name]],2,FALSE)),"")</f>
        <v>Tentacles</v>
      </c>
      <c r="M44" s="57">
        <f>IFERROR(VLOOKUP(VLOOKUP($B$20,CreatureTracker88[[Creature]:[AC]],2,FALSE)-VLOOKUP(Table99110[[#This Row],[Move Name]],Table100[[Move Name]:[Bonus to Hit]],4,FALSE),Probability[],3,FALSE),"")</f>
        <v>0.49999999999999994</v>
      </c>
      <c r="N44" s="57">
        <f>IFERROR(VLOOKUP(VLOOKUP($B$20,CreatureTracker88[[Creature]:[AC]],2,FALSE)-VLOOKUP(Table99110[[#This Row],[Move Name]],Table100[[Move Name]:[Bonus to Hit]],4,FALSE),Probability[],9,FALSE),"")</f>
        <v>0.25</v>
      </c>
      <c r="O44" s="57">
        <f>IFERROR(VLOOKUP(VLOOKUP($B$20,CreatureTracker88[[Creature]:[AC]],2,FALSE)-VLOOKUP(Table99110[[#This Row],[Move Name]],Table100[[Move Name]:[Bonus to Hit]],4,FALSE),Probability[],6,FALSE),"")</f>
        <v>0.75</v>
      </c>
    </row>
    <row r="45" spans="1:15" x14ac:dyDescent="0.35">
      <c r="A45" s="46">
        <v>2</v>
      </c>
      <c r="B45" t="str">
        <f>IFERROR(IF(VLOOKUP(CONCATENATE($B$20,Table82107[[#This Row],[Number ]]),Table70[[Move Number]:[Attack Roll or Save]],3,FALSE)="Attack Roll"," ",VLOOKUP(CONCATENATE($B$20,Table82107[[#This Row],[Number ]]),Table70[[Move Number]:[Move Name]],2,FALSE))," ")</f>
        <v xml:space="preserve"> </v>
      </c>
      <c r="C45" s="21" t="str">
        <f>IFERROR(VLOOKUP(VLOOKUP(Table82107[[#This Row],[Move Name]],Table70[[Move Name]:[Save DC]],6,FALSE)-VLOOKUP('Facade Dashboard'!$B$22,'Rules of the Game'!$V$3:$AJ$14,MATCH(VLOOKUP(Table82107[[#This Row],[Move Name]],Table70[[Move Name]:[Save Type]],5,FALSE),Enemies[#Headers],0),FALSE),'Rules of the Game'!$G$88:$T$108,4,FALSE),"")</f>
        <v/>
      </c>
      <c r="D45" t="str">
        <f>IFERROR((VLOOKUP(Table82107[[#This Row],[Move Name]],Table70[[Move Name]:[Average Damage]],14,FALSE)*Table82107[[#This Row],[% Creature Fails]])+(0.05*VLOOKUP(Table82107[[#This Row],[Move Name]],Table70[[Move Name]:[Average Damage]],14,FALSE)*2),"")</f>
        <v/>
      </c>
      <c r="E45" s="48" t="str">
        <f>IFERROR(VLOOKUP(VLOOKUP(Table82107[[#This Row],[Move Name]],Table70[[Move Name]:[Save DC]],6,FALSE)-VLOOKUP('Facade Dashboard'!$B$22,'Rules of the Game'!$V$3:$AJ$14,MATCH(VLOOKUP(Table82107[[#This Row],[Move Name]],Table70[[Move Name]:[Save Type]],5,FALSE),Enemies[#Headers],0),FALSE),'Rules of the Game'!$G$88:$T$108,7,FALSE),"")</f>
        <v/>
      </c>
      <c r="G45" t="str">
        <f>IFERROR((VLOOKUP(Table82107[[#This Row],[Move Name]],Table70[[Move Name]:[Average Damage]],14,FALSE)*Table82107[[#This Row],[% Creature Fails w/ ADV]])+(0.05*VLOOKUP(Table82107[[#This Row],[Move Name]],Table70[[Move Name]:[Average Damage]],14,FALSE)*2),"")</f>
        <v/>
      </c>
      <c r="H45" s="48" t="str">
        <f>IFERROR(VLOOKUP(VLOOKUP(Table82107[[#This Row],[Move Name]],Table70[[Move Name]:[Save DC]],6,FALSE)-VLOOKUP('Facade Dashboard'!$B$22,'Rules of the Game'!$V$3:$AJ$14,MATCH(VLOOKUP(Table82107[[#This Row],[Move Name]],Table70[[Move Name]:[Save Type]],5,FALSE),Enemies[#Headers],0),FALSE),'Rules of the Game'!$G$88:$T$108,10,FALSE),"")</f>
        <v/>
      </c>
      <c r="I45" t="str">
        <f>IFERROR((VLOOKUP(Table82107[[#This Row],[Move Name]],Table70[[Move Name]:[Average Damage]],14,FALSE)*Table82107[[#This Row],[% Creature Fails with DIS]])+(0.05*VLOOKUP(Table82107[[#This Row],[Move Name]],Table70[[Move Name]:[Average Damage]],14,FALSE)*2),"")</f>
        <v/>
      </c>
      <c r="K45">
        <v>2</v>
      </c>
      <c r="L45" t="str">
        <f>IFERROR(IF(VLOOKUP(CONCATENATE($B$22,Table99110[[#This Row],[Number]]),Table100[[Move Number]:[Attack Roll or Save]],3,FALSE)="Saving Throw","",VLOOKUP(CONCATENATE($B$22,Table99110[[#This Row],[Number]]),Table100[[Move Number]:[Move Name]],2,FALSE)),"")</f>
        <v>Extract Brain</v>
      </c>
      <c r="M45" s="21">
        <f>IFERROR(VLOOKUP(VLOOKUP($B$20,CreatureTracker88[[Creature]:[AC]],2,FALSE)-VLOOKUP(Table99110[[#This Row],[Move Name]],Table100[[Move Name]:[Bonus to Hit]],4,FALSE),Probability[],3,FALSE),"")</f>
        <v>0.49999999999999994</v>
      </c>
      <c r="N45" s="21">
        <f>IFERROR(VLOOKUP(VLOOKUP($B$20,CreatureTracker88[[Creature]:[AC]],2,FALSE)-VLOOKUP(Table99110[[#This Row],[Move Name]],Table100[[Move Name]:[Bonus to Hit]],4,FALSE),Probability[],9,FALSE),"")</f>
        <v>0.25</v>
      </c>
      <c r="O45" s="21">
        <f>IFERROR(VLOOKUP(VLOOKUP($B$20,CreatureTracker88[[Creature]:[AC]],2,FALSE)-VLOOKUP(Table99110[[#This Row],[Move Name]],Table100[[Move Name]:[Bonus to Hit]],4,FALSE),Probability[],6,FALSE),"")</f>
        <v>0.75</v>
      </c>
    </row>
    <row r="46" spans="1:15" x14ac:dyDescent="0.35">
      <c r="A46" s="46">
        <v>3</v>
      </c>
      <c r="B46" t="str">
        <f>IFERROR(IF(VLOOKUP(CONCATENATE($B$20,Table82107[[#This Row],[Number ]]),Table70[[Move Number]:[Attack Roll or Save]],3,FALSE)="Attack Roll"," ",VLOOKUP(CONCATENATE($B$20,Table82107[[#This Row],[Number ]]),Table70[[Move Number]:[Move Name]],2,FALSE))," ")</f>
        <v xml:space="preserve"> </v>
      </c>
      <c r="C46" s="21" t="str">
        <f>IFERROR(VLOOKUP(VLOOKUP(Table82107[[#This Row],[Move Name]],Table70[[Move Name]:[Save DC]],6,FALSE)-VLOOKUP('Facade Dashboard'!$B$22,'Rules of the Game'!$V$3:$AJ$14,MATCH(VLOOKUP(Table82107[[#This Row],[Move Name]],Table70[[Move Name]:[Save Type]],5,FALSE),Enemies[#Headers],0),FALSE),'Rules of the Game'!$G$88:$T$108,4,FALSE),"")</f>
        <v/>
      </c>
      <c r="D46" t="str">
        <f>IFERROR((VLOOKUP(Table82107[[#This Row],[Move Name]],Table70[[Move Name]:[Average Damage]],14,FALSE)*Table82107[[#This Row],[% Creature Fails]])+(0.05*VLOOKUP(Table82107[[#This Row],[Move Name]],Table70[[Move Name]:[Average Damage]],14,FALSE)*2),"")</f>
        <v/>
      </c>
      <c r="E46" s="48" t="str">
        <f>IFERROR(VLOOKUP(VLOOKUP(Table82107[[#This Row],[Move Name]],Table70[[Move Name]:[Save DC]],6,FALSE)-VLOOKUP('Facade Dashboard'!$B$22,'Rules of the Game'!$V$3:$AJ$14,MATCH(VLOOKUP(Table82107[[#This Row],[Move Name]],Table70[[Move Name]:[Save Type]],5,FALSE),Enemies[#Headers],0),FALSE),'Rules of the Game'!$G$88:$T$108,7,FALSE),"")</f>
        <v/>
      </c>
      <c r="G46" s="49" t="str">
        <f>IFERROR((VLOOKUP(Table82107[[#This Row],[Move Name]],Table70[[Move Name]:[Average Damage]],14,FALSE)*Table82107[[#This Row],[% Creature Fails w/ ADV]])+(0.05*VLOOKUP(Table82107[[#This Row],[Move Name]],Table70[[Move Name]:[Average Damage]],14,FALSE)*2),"")</f>
        <v/>
      </c>
      <c r="H46" s="48" t="str">
        <f>IFERROR(VLOOKUP(VLOOKUP(Table82107[[#This Row],[Move Name]],Table70[[Move Name]:[Save DC]],6,FALSE)-VLOOKUP('Facade Dashboard'!$B$22,'Rules of the Game'!$V$3:$AJ$14,MATCH(VLOOKUP(Table82107[[#This Row],[Move Name]],Table70[[Move Name]:[Save Type]],5,FALSE),Enemies[#Headers],0),FALSE),'Rules of the Game'!$G$88:$T$108,10,FALSE),"")</f>
        <v/>
      </c>
      <c r="I46" s="49" t="str">
        <f>IFERROR((VLOOKUP(Table82107[[#This Row],[Move Name]],Table70[[Move Name]:[Average Damage]],14,FALSE)*Table82107[[#This Row],[% Creature Fails with DIS]])+(0.05*VLOOKUP(Table82107[[#This Row],[Move Name]],Table70[[Move Name]:[Average Damage]],14,FALSE)*2),"")</f>
        <v/>
      </c>
      <c r="K46">
        <v>3</v>
      </c>
      <c r="L46" t="str">
        <f>IFERROR(IF(VLOOKUP(CONCATENATE($B$22,Table99110[[#This Row],[Number]]),Table100[[Move Number]:[Attack Roll or Save]],3,FALSE)="Saving Throw","",VLOOKUP(CONCATENATE($B$22,Table99110[[#This Row],[Number]]),Table100[[Move Number]:[Move Name]],2,FALSE)),"")</f>
        <v/>
      </c>
      <c r="M46" s="21" t="str">
        <f>IFERROR(VLOOKUP(VLOOKUP($B$20,CreatureTracker88[[Creature]:[AC]],2,FALSE)-VLOOKUP(Table99110[[#This Row],[Move Name]],Table100[[Move Name]:[Bonus to Hit]],4,FALSE),Probability[],3,FALSE),"")</f>
        <v/>
      </c>
      <c r="N46" s="21" t="str">
        <f>IFERROR(VLOOKUP(VLOOKUP($B$20,CreatureTracker88[[Creature]:[AC]],2,FALSE)-VLOOKUP(Table99110[[#This Row],[Move Name]],Table100[[Move Name]:[Bonus to Hit]],4,FALSE),Probability[],9,FALSE),"")</f>
        <v/>
      </c>
      <c r="O46" s="21" t="str">
        <f>IFERROR(VLOOKUP(VLOOKUP($B$20,CreatureTracker88[[Creature]:[AC]],2,FALSE)-VLOOKUP(Table99110[[#This Row],[Move Name]],Table100[[Move Name]:[Bonus to Hit]],4,FALSE),Probability[],6,FALSE),"")</f>
        <v/>
      </c>
    </row>
    <row r="47" spans="1:15" x14ac:dyDescent="0.35">
      <c r="A47" s="46">
        <v>4</v>
      </c>
      <c r="B47" t="str">
        <f>IFERROR(IF(VLOOKUP(CONCATENATE($B$20,Table82107[[#This Row],[Number ]]),Table70[[Move Number]:[Attack Roll or Save]],3,FALSE)="Attack Roll"," ",VLOOKUP(CONCATENATE($B$20,Table82107[[#This Row],[Number ]]),Table70[[Move Number]:[Move Name]],2,FALSE))," ")</f>
        <v xml:space="preserve"> </v>
      </c>
      <c r="C47" s="21" t="str">
        <f>IFERROR(VLOOKUP(VLOOKUP(Table82107[[#This Row],[Move Name]],Table70[[Move Name]:[Save DC]],6,FALSE)-VLOOKUP('Facade Dashboard'!$B$22,'Rules of the Game'!$V$3:$AJ$14,MATCH(VLOOKUP(Table82107[[#This Row],[Move Name]],Table70[[Move Name]:[Save Type]],5,FALSE),Enemies[#Headers],0),FALSE),'Rules of the Game'!$G$88:$T$108,4,FALSE),"")</f>
        <v/>
      </c>
      <c r="D47" t="str">
        <f>IFERROR((VLOOKUP(Table82107[[#This Row],[Move Name]],Table70[[Move Name]:[Average Damage]],14,FALSE)*Table82107[[#This Row],[% Creature Fails]])+(0.05*VLOOKUP(Table82107[[#This Row],[Move Name]],Table70[[Move Name]:[Average Damage]],14,FALSE)*2),"")</f>
        <v/>
      </c>
      <c r="E47" s="48" t="str">
        <f>IFERROR(VLOOKUP(VLOOKUP(Table82107[[#This Row],[Move Name]],Table70[[Move Name]:[Save DC]],6,FALSE)-VLOOKUP('Facade Dashboard'!$B$22,'Rules of the Game'!$V$3:$AJ$14,MATCH(VLOOKUP(Table82107[[#This Row],[Move Name]],Table70[[Move Name]:[Save Type]],5,FALSE),Enemies[#Headers],0),FALSE),'Rules of the Game'!$G$88:$T$108,7,FALSE),"")</f>
        <v/>
      </c>
      <c r="G47" t="str">
        <f>IFERROR((VLOOKUP(Table82107[[#This Row],[Move Name]],Table70[[Move Name]:[Average Damage]],14,FALSE)*Table82107[[#This Row],[% Creature Fails w/ ADV]])+(0.05*VLOOKUP(Table82107[[#This Row],[Move Name]],Table70[[Move Name]:[Average Damage]],14,FALSE)*2),"")</f>
        <v/>
      </c>
      <c r="H47" s="48" t="str">
        <f>IFERROR(VLOOKUP(VLOOKUP(Table82107[[#This Row],[Move Name]],Table70[[Move Name]:[Save DC]],6,FALSE)-VLOOKUP('Facade Dashboard'!$B$22,'Rules of the Game'!$V$3:$AJ$14,MATCH(VLOOKUP(Table82107[[#This Row],[Move Name]],Table70[[Move Name]:[Save Type]],5,FALSE),Enemies[#Headers],0),FALSE),'Rules of the Game'!$G$88:$T$108,10,FALSE),"")</f>
        <v/>
      </c>
      <c r="I47" t="str">
        <f>IFERROR((VLOOKUP(Table82107[[#This Row],[Move Name]],Table70[[Move Name]:[Average Damage]],14,FALSE)*Table82107[[#This Row],[% Creature Fails with DIS]])+(0.05*VLOOKUP(Table82107[[#This Row],[Move Name]],Table70[[Move Name]:[Average Damage]],14,FALSE)*2),"")</f>
        <v/>
      </c>
      <c r="K47">
        <v>4</v>
      </c>
      <c r="L47" t="str">
        <f>IFERROR(IF(VLOOKUP(CONCATENATE($B$22,Table99110[[#This Row],[Number]]),Table100[[Move Number]:[Attack Roll or Save]],3,FALSE)="Saving Throw","",VLOOKUP(CONCATENATE($B$22,Table99110[[#This Row],[Number]]),Table100[[Move Number]:[Move Name]],2,FALSE)),"")</f>
        <v/>
      </c>
      <c r="M47" s="21" t="str">
        <f>IFERROR(VLOOKUP(VLOOKUP($B$20,CreatureTracker88[[Creature]:[AC]],2,FALSE)-VLOOKUP(Table99110[[#This Row],[Move Name]],Table100[[Move Name]:[Bonus to Hit]],4,FALSE),Probability[],3,FALSE),"")</f>
        <v/>
      </c>
      <c r="N47" s="21" t="str">
        <f>IFERROR(VLOOKUP(VLOOKUP($B$20,CreatureTracker88[[Creature]:[AC]],2,FALSE)-VLOOKUP(Table99110[[#This Row],[Move Name]],Table100[[Move Name]:[Bonus to Hit]],4,FALSE),Probability[],9,FALSE),"")</f>
        <v/>
      </c>
      <c r="O47" s="21" t="str">
        <f>IFERROR(VLOOKUP(VLOOKUP($B$20,CreatureTracker88[[Creature]:[AC]],2,FALSE)-VLOOKUP(Table99110[[#This Row],[Move Name]],Table100[[Move Name]:[Bonus to Hit]],4,FALSE),Probability[],6,FALSE),"")</f>
        <v/>
      </c>
    </row>
    <row r="48" spans="1:15" x14ac:dyDescent="0.35">
      <c r="A48" s="46">
        <v>5</v>
      </c>
      <c r="B48" t="str">
        <f>IFERROR(IF(VLOOKUP(CONCATENATE($B$20,Table82107[[#This Row],[Number ]]),Table70[[Move Number]:[Attack Roll or Save]],3,FALSE)="Attack Roll"," ",VLOOKUP(CONCATENATE($B$20,Table82107[[#This Row],[Number ]]),Table70[[Move Number]:[Move Name]],2,FALSE))," ")</f>
        <v xml:space="preserve"> </v>
      </c>
      <c r="C48" s="21" t="str">
        <f>IFERROR(VLOOKUP(VLOOKUP(Table82107[[#This Row],[Move Name]],Table70[[Move Name]:[Save DC]],6,FALSE)-VLOOKUP('Facade Dashboard'!$B$22,'Rules of the Game'!$V$3:$AJ$14,MATCH(VLOOKUP(Table82107[[#This Row],[Move Name]],Table70[[Move Name]:[Save Type]],5,FALSE),Enemies[#Headers],0),FALSE),'Rules of the Game'!$G$88:$T$108,4,FALSE),"")</f>
        <v/>
      </c>
      <c r="D48" t="str">
        <f>IFERROR((VLOOKUP(Table82107[[#This Row],[Move Name]],Table70[[Move Name]:[Average Damage]],14,FALSE)*Table82107[[#This Row],[% Creature Fails]])+(0.05*VLOOKUP(Table82107[[#This Row],[Move Name]],Table70[[Move Name]:[Average Damage]],14,FALSE)*2),"")</f>
        <v/>
      </c>
      <c r="E48" s="48" t="str">
        <f>IFERROR(VLOOKUP(VLOOKUP(Table82107[[#This Row],[Move Name]],Table70[[Move Name]:[Save DC]],6,FALSE)-VLOOKUP('Facade Dashboard'!$B$22,'Rules of the Game'!$V$3:$AJ$14,MATCH(VLOOKUP(Table82107[[#This Row],[Move Name]],Table70[[Move Name]:[Save Type]],5,FALSE),Enemies[#Headers],0),FALSE),'Rules of the Game'!$G$88:$T$108,7,FALSE),"")</f>
        <v/>
      </c>
      <c r="G48" t="str">
        <f>IFERROR((VLOOKUP(Table82107[[#This Row],[Move Name]],Table70[[Move Name]:[Average Damage]],14,FALSE)*Table82107[[#This Row],[% Creature Fails w/ ADV]])+(0.05*VLOOKUP(Table82107[[#This Row],[Move Name]],Table70[[Move Name]:[Average Damage]],14,FALSE)*2),"")</f>
        <v/>
      </c>
      <c r="H48" s="48" t="str">
        <f>IFERROR(VLOOKUP(VLOOKUP(Table82107[[#This Row],[Move Name]],Table70[[Move Name]:[Save DC]],6,FALSE)-VLOOKUP('Facade Dashboard'!$B$22,'Rules of the Game'!$V$3:$AJ$14,MATCH(VLOOKUP(Table82107[[#This Row],[Move Name]],Table70[[Move Name]:[Save Type]],5,FALSE),Enemies[#Headers],0),FALSE),'Rules of the Game'!$G$88:$T$108,10,FALSE),"")</f>
        <v/>
      </c>
      <c r="I48" t="str">
        <f>IFERROR((VLOOKUP(Table82107[[#This Row],[Move Name]],Table70[[Move Name]:[Average Damage]],14,FALSE)*Table82107[[#This Row],[% Creature Fails with DIS]])+(0.05*VLOOKUP(Table82107[[#This Row],[Move Name]],Table70[[Move Name]:[Average Damage]],14,FALSE)*2),"")</f>
        <v/>
      </c>
      <c r="K48">
        <v>5</v>
      </c>
      <c r="L48" t="str">
        <f>IFERROR(IF(VLOOKUP(CONCATENATE($B$22,Table99110[[#This Row],[Number]]),Table100[[Move Number]:[Attack Roll or Save]],3,FALSE)="Saving Throw","",VLOOKUP(CONCATENATE($B$22,Table99110[[#This Row],[Number]]),Table100[[Move Number]:[Move Name]],2,FALSE)),"")</f>
        <v/>
      </c>
      <c r="M48" s="21" t="str">
        <f>IFERROR(VLOOKUP(VLOOKUP($B$20,CreatureTracker88[[Creature]:[AC]],2,FALSE)-VLOOKUP(Table99110[[#This Row],[Move Name]],Table100[[Move Name]:[Bonus to Hit]],4,FALSE),Probability[],3,FALSE),"")</f>
        <v/>
      </c>
      <c r="N48" s="21" t="str">
        <f>IFERROR(VLOOKUP(VLOOKUP($B$20,CreatureTracker88[[Creature]:[AC]],2,FALSE)-VLOOKUP(Table99110[[#This Row],[Move Name]],Table100[[Move Name]:[Bonus to Hit]],4,FALSE),Probability[],9,FALSE),"")</f>
        <v/>
      </c>
      <c r="O48" s="21" t="str">
        <f>IFERROR(VLOOKUP(VLOOKUP($B$20,CreatureTracker88[[Creature]:[AC]],2,FALSE)-VLOOKUP(Table99110[[#This Row],[Move Name]],Table100[[Move Name]:[Bonus to Hit]],4,FALSE),Probability[],6,FALSE),"")</f>
        <v/>
      </c>
    </row>
    <row r="49" spans="1:15" x14ac:dyDescent="0.35">
      <c r="A49" s="46">
        <v>6</v>
      </c>
      <c r="B49" t="str">
        <f>IFERROR(IF(VLOOKUP(CONCATENATE($B$20,Table82107[[#This Row],[Number ]]),Table70[[Move Number]:[Attack Roll or Save]],3,FALSE)="Attack Roll"," ",VLOOKUP(CONCATENATE($B$20,Table82107[[#This Row],[Number ]]),Table70[[Move Number]:[Move Name]],2,FALSE))," ")</f>
        <v xml:space="preserve"> </v>
      </c>
      <c r="C49" s="21" t="str">
        <f>IFERROR(VLOOKUP(VLOOKUP(Table82107[[#This Row],[Move Name]],Table70[[Move Name]:[Save DC]],6,FALSE)-VLOOKUP('Facade Dashboard'!$B$22,'Rules of the Game'!$V$3:$AJ$14,MATCH(VLOOKUP(Table82107[[#This Row],[Move Name]],Table70[[Move Name]:[Save Type]],5,FALSE),Enemies[#Headers],0),FALSE),'Rules of the Game'!$G$88:$T$108,4,FALSE),"")</f>
        <v/>
      </c>
      <c r="D49" t="str">
        <f>IFERROR((VLOOKUP(Table82107[[#This Row],[Move Name]],Table70[[Move Name]:[Average Damage]],14,FALSE)*Table82107[[#This Row],[% Creature Fails]])+(0.05*VLOOKUP(Table82107[[#This Row],[Move Name]],Table70[[Move Name]:[Average Damage]],14,FALSE)*2),"")</f>
        <v/>
      </c>
      <c r="E49" s="48" t="str">
        <f>IFERROR(VLOOKUP(VLOOKUP(Table82107[[#This Row],[Move Name]],Table70[[Move Name]:[Save DC]],6,FALSE)-VLOOKUP('Facade Dashboard'!$B$22,'Rules of the Game'!$V$3:$AJ$14,MATCH(VLOOKUP(Table82107[[#This Row],[Move Name]],Table70[[Move Name]:[Save Type]],5,FALSE),Enemies[#Headers],0),FALSE),'Rules of the Game'!$G$88:$T$108,7,FALSE),"")</f>
        <v/>
      </c>
      <c r="G49" t="str">
        <f>IFERROR((VLOOKUP(Table82107[[#This Row],[Move Name]],Table70[[Move Name]:[Average Damage]],14,FALSE)*Table82107[[#This Row],[% Creature Fails w/ ADV]])+(0.05*VLOOKUP(Table82107[[#This Row],[Move Name]],Table70[[Move Name]:[Average Damage]],14,FALSE)*2),"")</f>
        <v/>
      </c>
      <c r="H49" s="48" t="str">
        <f>IFERROR(VLOOKUP(VLOOKUP(Table82107[[#This Row],[Move Name]],Table70[[Move Name]:[Save DC]],6,FALSE)-VLOOKUP('Facade Dashboard'!$B$22,'Rules of the Game'!$V$3:$AJ$14,MATCH(VLOOKUP(Table82107[[#This Row],[Move Name]],Table70[[Move Name]:[Save Type]],5,FALSE),Enemies[#Headers],0),FALSE),'Rules of the Game'!$G$88:$T$108,10,FALSE),"")</f>
        <v/>
      </c>
      <c r="I49" t="str">
        <f>IFERROR((VLOOKUP(Table82107[[#This Row],[Move Name]],Table70[[Move Name]:[Average Damage]],14,FALSE)*Table82107[[#This Row],[% Creature Fails with DIS]])+(0.05*VLOOKUP(Table82107[[#This Row],[Move Name]],Table70[[Move Name]:[Average Damage]],14,FALSE)*2),"")</f>
        <v/>
      </c>
      <c r="K49" t="s">
        <v>546</v>
      </c>
      <c r="L49" t="s">
        <v>513</v>
      </c>
      <c r="M49" t="s">
        <v>651</v>
      </c>
      <c r="N49" t="s">
        <v>418</v>
      </c>
      <c r="O49" t="s">
        <v>422</v>
      </c>
    </row>
    <row r="50" spans="1:15" x14ac:dyDescent="0.35">
      <c r="A50" s="46">
        <v>7</v>
      </c>
      <c r="B50" t="str">
        <f>IFERROR(IF(VLOOKUP(CONCATENATE($B$20,Table82107[[#This Row],[Number ]]),Table70[[Move Number]:[Attack Roll or Save]],3,FALSE)="Attack Roll"," ",VLOOKUP(CONCATENATE($B$20,Table82107[[#This Row],[Number ]]),Table70[[Move Number]:[Move Name]],2,FALSE))," ")</f>
        <v xml:space="preserve"> </v>
      </c>
      <c r="C50" s="21" t="str">
        <f>IFERROR(VLOOKUP(VLOOKUP(Table82107[[#This Row],[Move Name]],Table70[[Move Name]:[Save DC]],6,FALSE)-VLOOKUP('Facade Dashboard'!$B$22,'Rules of the Game'!$V$3:$AJ$14,MATCH(VLOOKUP(Table82107[[#This Row],[Move Name]],Table70[[Move Name]:[Save Type]],5,FALSE),Enemies[#Headers],0),FALSE),'Rules of the Game'!$G$88:$T$108,4,FALSE),"")</f>
        <v/>
      </c>
      <c r="D50" t="str">
        <f>IFERROR((VLOOKUP(Table82107[[#This Row],[Move Name]],Table70[[Move Name]:[Average Damage]],14,FALSE)*Table82107[[#This Row],[% Creature Fails]])+(0.05*VLOOKUP(Table82107[[#This Row],[Move Name]],Table70[[Move Name]:[Average Damage]],14,FALSE)*2),"")</f>
        <v/>
      </c>
      <c r="E50" s="48" t="str">
        <f>IFERROR(VLOOKUP(VLOOKUP(Table82107[[#This Row],[Move Name]],Table70[[Move Name]:[Save DC]],6,FALSE)-VLOOKUP('Facade Dashboard'!$B$22,'Rules of the Game'!$V$3:$AJ$14,MATCH(VLOOKUP(Table82107[[#This Row],[Move Name]],Table70[[Move Name]:[Save Type]],5,FALSE),Enemies[#Headers],0),FALSE),'Rules of the Game'!$G$88:$T$108,7,FALSE),"")</f>
        <v/>
      </c>
      <c r="G50" t="str">
        <f>IFERROR((VLOOKUP(Table82107[[#This Row],[Move Name]],Table70[[Move Name]:[Average Damage]],14,FALSE)*Table82107[[#This Row],[% Creature Fails w/ ADV]])+(0.05*VLOOKUP(Table82107[[#This Row],[Move Name]],Table70[[Move Name]:[Average Damage]],14,FALSE)*2),"")</f>
        <v/>
      </c>
      <c r="H50" s="48" t="str">
        <f>IFERROR(VLOOKUP(VLOOKUP(Table82107[[#This Row],[Move Name]],Table70[[Move Name]:[Save DC]],6,FALSE)-VLOOKUP('Facade Dashboard'!$B$22,'Rules of the Game'!$V$3:$AJ$14,MATCH(VLOOKUP(Table82107[[#This Row],[Move Name]],Table70[[Move Name]:[Save Type]],5,FALSE),Enemies[#Headers],0),FALSE),'Rules of the Game'!$G$88:$T$108,10,FALSE),"")</f>
        <v/>
      </c>
      <c r="I50" s="49" t="str">
        <f>IFERROR((VLOOKUP(Table82107[[#This Row],[Move Name]],Table70[[Move Name]:[Average Damage]],14,FALSE)*Table82107[[#This Row],[% Creature Fails with DIS]])+(0.05*VLOOKUP(Table82107[[#This Row],[Move Name]],Table70[[Move Name]:[Average Damage]],14,FALSE)*2),"")</f>
        <v/>
      </c>
      <c r="K50">
        <v>1</v>
      </c>
      <c r="L50" t="str">
        <f>IFERROR(IF(VLOOKUP(CONCATENATE($B$22,Table101111[[#This Row],[Number]]),Table100[[Move Number]:[Attack Roll or Save]],3,FALSE)="Attack Roll","",VLOOKUP(CONCATENATE($B$22,Table101111[[#This Row],[Number]]),Table100[[Move Number]:[Move Name]],2,FALSE)),"")</f>
        <v/>
      </c>
      <c r="M50" s="21" t="str">
        <f>IFERROR(VLOOKUP(VLOOKUP(Table101111[[#This Row],[Move Name]],Table100[[Move Name]:[Save DC]],6,FALSE)-VLOOKUP('Facade Dashboard'!$B$20,Table6696[],MATCH(VLOOKUP(Table101111[[#This Row],[Move Name]],Table100[[Move Name]:[Save Type]],5,FALSE),Table6696[#Headers],0),FALSE),Probability[],4,FALSE),"")</f>
        <v/>
      </c>
      <c r="N50" s="21" t="str">
        <f>IFERROR(VLOOKUP(VLOOKUP(Table101111[[#This Row],[Move Name]],Table100[[Move Name]:[Save DC]],6,FALSE)-VLOOKUP('Facade Dashboard'!$B$20,Table6696[],MATCH(VLOOKUP(Table101111[[#This Row],[Move Name]],Table100[[Move Name]:[Save Type]],5,FALSE),Table6696[#Headers],0),FALSE),Probability[],10,FALSE),"")</f>
        <v/>
      </c>
      <c r="O50" s="21" t="str">
        <f>IFERROR(VLOOKUP(VLOOKUP(Table101111[[#This Row],[Move Name]],Table100[[Move Name]:[Save DC]],6,FALSE)-VLOOKUP('Facade Dashboard'!$B$20,Table6696[],MATCH(VLOOKUP(Table101111[[#This Row],[Move Name]],Table100[[Move Name]:[Save Type]],5,FALSE),Table6696[#Headers],0),FALSE),Probability[],7,FALSE),"")</f>
        <v/>
      </c>
    </row>
    <row r="51" spans="1:15" x14ac:dyDescent="0.35">
      <c r="A51" s="46">
        <v>8</v>
      </c>
      <c r="B51" t="str">
        <f>IFERROR(IF(VLOOKUP(CONCATENATE($B$20,Table82107[[#This Row],[Number ]]),Table70[[Move Number]:[Attack Roll or Save]],3,FALSE)="Attack Roll"," ",VLOOKUP(CONCATENATE($B$20,Table82107[[#This Row],[Number ]]),Table70[[Move Number]:[Move Name]],2,FALSE))," ")</f>
        <v xml:space="preserve"> </v>
      </c>
      <c r="C51" s="21" t="str">
        <f>IFERROR(VLOOKUP(VLOOKUP(Table82107[[#This Row],[Move Name]],Table70[[Move Name]:[Save DC]],6,FALSE)-VLOOKUP('Facade Dashboard'!$B$22,'Rules of the Game'!$V$3:$AJ$14,MATCH(VLOOKUP(Table82107[[#This Row],[Move Name]],Table70[[Move Name]:[Save Type]],5,FALSE),Enemies[#Headers],0),FALSE),'Rules of the Game'!$G$88:$T$108,4,FALSE),"")</f>
        <v/>
      </c>
      <c r="D51" t="str">
        <f>IFERROR((VLOOKUP(Table82107[[#This Row],[Move Name]],Table70[[Move Name]:[Average Damage]],14,FALSE)*Table82107[[#This Row],[% Creature Fails]])+(0.05*VLOOKUP(Table82107[[#This Row],[Move Name]],Table70[[Move Name]:[Average Damage]],14,FALSE)*2),"")</f>
        <v/>
      </c>
      <c r="E51" s="48" t="str">
        <f>IFERROR(VLOOKUP(VLOOKUP(Table82107[[#This Row],[Move Name]],Table70[[Move Name]:[Save DC]],6,FALSE)-VLOOKUP('Facade Dashboard'!$B$22,'Rules of the Game'!$V$3:$AJ$14,MATCH(VLOOKUP(Table82107[[#This Row],[Move Name]],Table70[[Move Name]:[Save Type]],5,FALSE),Enemies[#Headers],0),FALSE),'Rules of the Game'!$G$88:$T$108,7,FALSE),"")</f>
        <v/>
      </c>
      <c r="G51" s="49" t="str">
        <f>IFERROR((VLOOKUP(Table82107[[#This Row],[Move Name]],Table70[[Move Name]:[Average Damage]],14,FALSE)*Table82107[[#This Row],[% Creature Fails w/ ADV]])+(0.05*VLOOKUP(Table82107[[#This Row],[Move Name]],Table70[[Move Name]:[Average Damage]],14,FALSE)*2),"")</f>
        <v/>
      </c>
      <c r="H51" s="48" t="str">
        <f>IFERROR(VLOOKUP(VLOOKUP(Table82107[[#This Row],[Move Name]],Table70[[Move Name]:[Save DC]],6,FALSE)-VLOOKUP('Facade Dashboard'!$B$22,'Rules of the Game'!$V$3:$AJ$14,MATCH(VLOOKUP(Table82107[[#This Row],[Move Name]],Table70[[Move Name]:[Save Type]],5,FALSE),Enemies[#Headers],0),FALSE),'Rules of the Game'!$G$88:$T$108,10,FALSE),"")</f>
        <v/>
      </c>
      <c r="I51" s="49" t="str">
        <f>IFERROR((VLOOKUP(Table82107[[#This Row],[Move Name]],Table70[[Move Name]:[Average Damage]],14,FALSE)*Table82107[[#This Row],[% Creature Fails with DIS]])+(0.05*VLOOKUP(Table82107[[#This Row],[Move Name]],Table70[[Move Name]:[Average Damage]],14,FALSE)*2),"")</f>
        <v/>
      </c>
      <c r="K51">
        <v>2</v>
      </c>
      <c r="L51" t="str">
        <f>IFERROR(IF(VLOOKUP(CONCATENATE($B$22,Table101111[[#This Row],[Number]]),Table100[[Move Number]:[Attack Roll or Save]],3,FALSE)="Attack Roll","",VLOOKUP(CONCATENATE($B$22,Table101111[[#This Row],[Number]]),Table100[[Move Number]:[Move Name]],2,FALSE)),"")</f>
        <v/>
      </c>
      <c r="M51" s="21" t="str">
        <f>IFERROR(VLOOKUP(VLOOKUP(Table101111[[#This Row],[Move Name]],Table100[[Move Name]:[Save DC]],6,FALSE)-VLOOKUP('Facade Dashboard'!$B$20,Table6696[],MATCH(VLOOKUP(Table101111[[#This Row],[Move Name]],Table100[[Move Name]:[Save Type]],5,FALSE),Table6696[#Headers],0),FALSE),Probability[],4,FALSE),"")</f>
        <v/>
      </c>
      <c r="N51" s="21" t="str">
        <f>IFERROR(VLOOKUP(VLOOKUP(Table101111[[#This Row],[Move Name]],Table100[[Move Name]:[Save DC]],6,FALSE)-VLOOKUP('Facade Dashboard'!$B$20,Table6696[],MATCH(VLOOKUP(Table101111[[#This Row],[Move Name]],Table100[[Move Name]:[Save Type]],5,FALSE),Table6696[#Headers],0),FALSE),Probability[],10,FALSE),"")</f>
        <v/>
      </c>
      <c r="O51" s="21" t="str">
        <f>IFERROR(VLOOKUP(VLOOKUP(Table101111[[#This Row],[Move Name]],Table100[[Move Name]:[Save DC]],6,FALSE)-VLOOKUP('Facade Dashboard'!$B$20,Table6696[],MATCH(VLOOKUP(Table101111[[#This Row],[Move Name]],Table100[[Move Name]:[Save Type]],5,FALSE),Table6696[#Headers],0),FALSE),Probability[],7,FALSE),"")</f>
        <v/>
      </c>
    </row>
    <row r="52" spans="1:15" x14ac:dyDescent="0.35">
      <c r="A52" s="46">
        <v>9</v>
      </c>
      <c r="B52" t="str">
        <f>IFERROR(IF(VLOOKUP(CONCATENATE($B$20,Table82107[[#This Row],[Number ]]),Table70[[Move Number]:[Attack Roll or Save]],3,FALSE)="Attack Roll"," ",VLOOKUP(CONCATENATE($B$20,Table82107[[#This Row],[Number ]]),Table70[[Move Number]:[Move Name]],2,FALSE))," ")</f>
        <v xml:space="preserve"> </v>
      </c>
      <c r="C52" s="21" t="str">
        <f>IFERROR(VLOOKUP(VLOOKUP(Table82107[[#This Row],[Move Name]],Table70[[Move Name]:[Save DC]],6,FALSE)-VLOOKUP('Facade Dashboard'!$B$22,'Rules of the Game'!$V$3:$AJ$14,MATCH(VLOOKUP(Table82107[[#This Row],[Move Name]],Table70[[Move Name]:[Save Type]],5,FALSE),Enemies[#Headers],0),FALSE),'Rules of the Game'!$G$88:$T$108,4,FALSE),"")</f>
        <v/>
      </c>
      <c r="D52" t="str">
        <f>IFERROR((VLOOKUP(Table82107[[#This Row],[Move Name]],Table70[[Move Name]:[Average Damage]],14,FALSE)*Table82107[[#This Row],[% Creature Fails]])+(0.05*VLOOKUP(Table82107[[#This Row],[Move Name]],Table70[[Move Name]:[Average Damage]],14,FALSE)*2),"")</f>
        <v/>
      </c>
      <c r="E52" s="48" t="str">
        <f>IFERROR(VLOOKUP(VLOOKUP(Table82107[[#This Row],[Move Name]],Table70[[Move Name]:[Save DC]],6,FALSE)-VLOOKUP('Facade Dashboard'!$B$22,'Rules of the Game'!$V$3:$AJ$14,MATCH(VLOOKUP(Table82107[[#This Row],[Move Name]],Table70[[Move Name]:[Save Type]],5,FALSE),Enemies[#Headers],0),FALSE),'Rules of the Game'!$G$88:$T$108,7,FALSE),"")</f>
        <v/>
      </c>
      <c r="G52" t="str">
        <f>IFERROR((VLOOKUP(Table82107[[#This Row],[Move Name]],Table70[[Move Name]:[Average Damage]],14,FALSE)*Table82107[[#This Row],[% Creature Fails w/ ADV]])+(0.05*VLOOKUP(Table82107[[#This Row],[Move Name]],Table70[[Move Name]:[Average Damage]],14,FALSE)*2),"")</f>
        <v/>
      </c>
      <c r="H52" s="48" t="str">
        <f>IFERROR(VLOOKUP(VLOOKUP(Table82107[[#This Row],[Move Name]],Table70[[Move Name]:[Save DC]],6,FALSE)-VLOOKUP('Facade Dashboard'!$B$22,'Rules of the Game'!$V$3:$AJ$14,MATCH(VLOOKUP(Table82107[[#This Row],[Move Name]],Table70[[Move Name]:[Save Type]],5,FALSE),Enemies[#Headers],0),FALSE),'Rules of the Game'!$G$88:$T$108,10,FALSE),"")</f>
        <v/>
      </c>
      <c r="I52" t="str">
        <f>IFERROR((VLOOKUP(Table82107[[#This Row],[Move Name]],Table70[[Move Name]:[Average Damage]],14,FALSE)*Table82107[[#This Row],[% Creature Fails with DIS]])+(0.05*VLOOKUP(Table82107[[#This Row],[Move Name]],Table70[[Move Name]:[Average Damage]],14,FALSE)*2),"")</f>
        <v/>
      </c>
      <c r="K52">
        <v>3</v>
      </c>
      <c r="L52" t="str">
        <f>IFERROR(IF(VLOOKUP(CONCATENATE($B$22,Table101111[[#This Row],[Number]]),Table100[[Move Number]:[Attack Roll or Save]],3,FALSE)="Attack Roll","",VLOOKUP(CONCATENATE($B$22,Table101111[[#This Row],[Number]]),Table100[[Move Number]:[Move Name]],2,FALSE)),"")</f>
        <v>Mind Blast</v>
      </c>
      <c r="M52" s="21">
        <f>IFERROR(VLOOKUP(VLOOKUP(Table101111[[#This Row],[Move Name]],Table100[[Move Name]:[Save DC]],6,FALSE)-VLOOKUP('Facade Dashboard'!$B$20,Table6696[],MATCH(VLOOKUP(Table101111[[#This Row],[Move Name]],Table100[[Move Name]:[Save Type]],5,FALSE),Table6696[#Headers],0),FALSE),Probability[],4,FALSE),"")</f>
        <v>0.1</v>
      </c>
      <c r="N52" s="21">
        <f>IFERROR(VLOOKUP(VLOOKUP(Table101111[[#This Row],[Move Name]],Table100[[Move Name]:[Save DC]],6,FALSE)-VLOOKUP('Facade Dashboard'!$B$20,Table6696[],MATCH(VLOOKUP(Table101111[[#This Row],[Move Name]],Table100[[Move Name]:[Save Type]],5,FALSE),Table6696[#Headers],0),FALSE),Probability[],10,FALSE),"")</f>
        <v>0.19</v>
      </c>
      <c r="O52" s="21">
        <f>IFERROR(VLOOKUP(VLOOKUP(Table101111[[#This Row],[Move Name]],Table100[[Move Name]:[Save DC]],6,FALSE)-VLOOKUP('Facade Dashboard'!$B$20,Table6696[],MATCH(VLOOKUP(Table101111[[#This Row],[Move Name]],Table100[[Move Name]:[Save Type]],5,FALSE),Table6696[#Headers],0),FALSE),Probability[],7,FALSE),"")</f>
        <v>0.01</v>
      </c>
    </row>
    <row r="53" spans="1:15" x14ac:dyDescent="0.35">
      <c r="A53" s="46">
        <v>10</v>
      </c>
      <c r="B53" t="str">
        <f>IFERROR(IF(VLOOKUP(CONCATENATE($B$20,Table82107[[#This Row],[Number ]]),Table70[[Move Number]:[Attack Roll or Save]],3,FALSE)="Attack Roll"," ",VLOOKUP(CONCATENATE($B$20,Table82107[[#This Row],[Number ]]),Table70[[Move Number]:[Move Name]],2,FALSE))," ")</f>
        <v xml:space="preserve"> </v>
      </c>
      <c r="C53" s="21" t="str">
        <f>IFERROR(VLOOKUP(VLOOKUP(Table82107[[#This Row],[Move Name]],Table70[[Move Name]:[Save DC]],6,FALSE)-VLOOKUP('Facade Dashboard'!$B$22,'Rules of the Game'!$V$3:$AJ$14,MATCH(VLOOKUP(Table82107[[#This Row],[Move Name]],Table70[[Move Name]:[Save Type]],5,FALSE),Enemies[#Headers],0),FALSE),'Rules of the Game'!$G$88:$T$108,4,FALSE),"")</f>
        <v/>
      </c>
      <c r="D53" t="str">
        <f>IFERROR((VLOOKUP(Table82107[[#This Row],[Move Name]],Table70[[Move Name]:[Average Damage]],14,FALSE)*Table82107[[#This Row],[% Creature Fails]])+(0.05*VLOOKUP(Table82107[[#This Row],[Move Name]],Table70[[Move Name]:[Average Damage]],14,FALSE)*2),"")</f>
        <v/>
      </c>
      <c r="E53" s="48" t="str">
        <f>IFERROR(VLOOKUP(VLOOKUP(Table82107[[#This Row],[Move Name]],Table70[[Move Name]:[Save DC]],6,FALSE)-VLOOKUP('Facade Dashboard'!$B$22,'Rules of the Game'!$V$3:$AJ$14,MATCH(VLOOKUP(Table82107[[#This Row],[Move Name]],Table70[[Move Name]:[Save Type]],5,FALSE),Enemies[#Headers],0),FALSE),'Rules of the Game'!$G$88:$T$108,7,FALSE),"")</f>
        <v/>
      </c>
      <c r="G53" t="str">
        <f>IFERROR((VLOOKUP(Table82107[[#This Row],[Move Name]],Table70[[Move Name]:[Average Damage]],14,FALSE)*Table82107[[#This Row],[% Creature Fails w/ ADV]])+(0.05*VLOOKUP(Table82107[[#This Row],[Move Name]],Table70[[Move Name]:[Average Damage]],14,FALSE)*2),"")</f>
        <v/>
      </c>
      <c r="H53" s="48" t="str">
        <f>IFERROR(VLOOKUP(VLOOKUP(Table82107[[#This Row],[Move Name]],Table70[[Move Name]:[Save DC]],6,FALSE)-VLOOKUP('Facade Dashboard'!$B$22,'Rules of the Game'!$V$3:$AJ$14,MATCH(VLOOKUP(Table82107[[#This Row],[Move Name]],Table70[[Move Name]:[Save Type]],5,FALSE),Enemies[#Headers],0),FALSE),'Rules of the Game'!$G$88:$T$108,10,FALSE),"")</f>
        <v/>
      </c>
      <c r="I53" t="str">
        <f>IFERROR((VLOOKUP(Table82107[[#This Row],[Move Name]],Table70[[Move Name]:[Average Damage]],14,FALSE)*Table82107[[#This Row],[% Creature Fails with DIS]])+(0.05*VLOOKUP(Table82107[[#This Row],[Move Name]],Table70[[Move Name]:[Average Damage]],14,FALSE)*2),"")</f>
        <v/>
      </c>
      <c r="K53">
        <v>4</v>
      </c>
      <c r="L53" t="str">
        <f>IFERROR(IF(VLOOKUP(CONCATENATE($B$22,Table101111[[#This Row],[Number]]),Table100[[Move Number]:[Attack Roll or Save]],3,FALSE)="Attack Roll","",VLOOKUP(CONCATENATE($B$22,Table101111[[#This Row],[Number]]),Table100[[Move Number]:[Move Name]],2,FALSE)),"")</f>
        <v>Dominate Monster</v>
      </c>
      <c r="M53" s="21">
        <f>IFERROR(VLOOKUP(VLOOKUP(Table101111[[#This Row],[Move Name]],Table100[[Move Name]:[Save DC]],6,FALSE)-VLOOKUP('Facade Dashboard'!$B$20,Table6696[],MATCH(VLOOKUP(Table101111[[#This Row],[Move Name]],Table100[[Move Name]:[Save Type]],5,FALSE),Table6696[#Headers],0),FALSE),Probability[],4,FALSE),"")</f>
        <v>0.35</v>
      </c>
      <c r="N53" s="21">
        <f>IFERROR(VLOOKUP(VLOOKUP(Table101111[[#This Row],[Move Name]],Table100[[Move Name]:[Save DC]],6,FALSE)-VLOOKUP('Facade Dashboard'!$B$20,Table6696[],MATCH(VLOOKUP(Table101111[[#This Row],[Move Name]],Table100[[Move Name]:[Save Type]],5,FALSE),Table6696[#Headers],0),FALSE),Probability[],10,FALSE),"")</f>
        <v>0.57750000000000012</v>
      </c>
      <c r="O53" s="21">
        <f>IFERROR(VLOOKUP(VLOOKUP(Table101111[[#This Row],[Move Name]],Table100[[Move Name]:[Save DC]],6,FALSE)-VLOOKUP('Facade Dashboard'!$B$20,Table6696[],MATCH(VLOOKUP(Table101111[[#This Row],[Move Name]],Table100[[Move Name]:[Save Type]],5,FALSE),Table6696[#Headers],0),FALSE),Probability[],7,FALSE),"")</f>
        <v>0.1225</v>
      </c>
    </row>
    <row r="54" spans="1:15" x14ac:dyDescent="0.35">
      <c r="A54" s="46">
        <v>11</v>
      </c>
      <c r="B54" t="str">
        <f>IFERROR(IF(VLOOKUP(CONCATENATE($B$20,Table82107[[#This Row],[Number ]]),Table70[[Move Number]:[Attack Roll or Save]],3,FALSE)="Attack Roll"," ",VLOOKUP(CONCATENATE($B$20,Table82107[[#This Row],[Number ]]),Table70[[Move Number]:[Move Name]],2,FALSE))," ")</f>
        <v xml:space="preserve"> </v>
      </c>
      <c r="C54" s="21" t="str">
        <f>IFERROR(VLOOKUP(VLOOKUP(Table82107[[#This Row],[Move Name]],Table70[[Move Name]:[Save DC]],6,FALSE)-VLOOKUP('Facade Dashboard'!$B$22,'Rules of the Game'!$V$3:$AJ$14,MATCH(VLOOKUP(Table82107[[#This Row],[Move Name]],Table70[[Move Name]:[Save Type]],5,FALSE),Enemies[#Headers],0),FALSE),'Rules of the Game'!$G$88:$T$108,4,FALSE),"")</f>
        <v/>
      </c>
      <c r="D54" t="str">
        <f>IFERROR((VLOOKUP(Table82107[[#This Row],[Move Name]],Table70[[Move Name]:[Average Damage]],14,FALSE)*Table82107[[#This Row],[% Creature Fails]])+(0.05*VLOOKUP(Table82107[[#This Row],[Move Name]],Table70[[Move Name]:[Average Damage]],14,FALSE)*2),"")</f>
        <v/>
      </c>
      <c r="E54" s="48" t="str">
        <f>IFERROR(VLOOKUP(VLOOKUP(Table82107[[#This Row],[Move Name]],Table70[[Move Name]:[Save DC]],6,FALSE)-VLOOKUP('Facade Dashboard'!$B$22,'Rules of the Game'!$V$3:$AJ$14,MATCH(VLOOKUP(Table82107[[#This Row],[Move Name]],Table70[[Move Name]:[Save Type]],5,FALSE),Enemies[#Headers],0),FALSE),'Rules of the Game'!$G$88:$T$108,7,FALSE),"")</f>
        <v/>
      </c>
      <c r="G54" t="str">
        <f>IFERROR((VLOOKUP(Table82107[[#This Row],[Move Name]],Table70[[Move Name]:[Average Damage]],14,FALSE)*Table82107[[#This Row],[% Creature Fails w/ ADV]])+(0.05*VLOOKUP(Table82107[[#This Row],[Move Name]],Table70[[Move Name]:[Average Damage]],14,FALSE)*2),"")</f>
        <v/>
      </c>
      <c r="H54" s="48" t="str">
        <f>IFERROR(VLOOKUP(VLOOKUP(Table82107[[#This Row],[Move Name]],Table70[[Move Name]:[Save DC]],6,FALSE)-VLOOKUP('Facade Dashboard'!$B$22,'Rules of the Game'!$V$3:$AJ$14,MATCH(VLOOKUP(Table82107[[#This Row],[Move Name]],Table70[[Move Name]:[Save Type]],5,FALSE),Enemies[#Headers],0),FALSE),'Rules of the Game'!$G$88:$T$108,10,FALSE),"")</f>
        <v/>
      </c>
      <c r="I54" t="str">
        <f>IFERROR((VLOOKUP(Table82107[[#This Row],[Move Name]],Table70[[Move Name]:[Average Damage]],14,FALSE)*Table82107[[#This Row],[% Creature Fails with DIS]])+(0.05*VLOOKUP(Table82107[[#This Row],[Move Name]],Table70[[Move Name]:[Average Damage]],14,FALSE)*2),"")</f>
        <v/>
      </c>
      <c r="K54">
        <v>5</v>
      </c>
      <c r="L54" t="str">
        <f>IFERROR(IF(VLOOKUP(CONCATENATE($B$22,Table101111[[#This Row],[Number]]),Table100[[Move Number]:[Attack Roll or Save]],3,FALSE)="Attack Roll","",VLOOKUP(CONCATENATE($B$22,Table101111[[#This Row],[Number]]),Table100[[Move Number]:[Move Name]],2,FALSE)),"")</f>
        <v/>
      </c>
      <c r="M54" s="21" t="str">
        <f>IFERROR(VLOOKUP(VLOOKUP(Table101111[[#This Row],[Move Name]],Table100[[Move Name]:[Save DC]],6,FALSE)-VLOOKUP('Facade Dashboard'!$B$20,Table6696[],MATCH(VLOOKUP(Table101111[[#This Row],[Move Name]],Table100[[Move Name]:[Save Type]],5,FALSE),Table6696[#Headers],0),FALSE),Probability[],4,FALSE),"")</f>
        <v/>
      </c>
      <c r="N54" s="21" t="str">
        <f>IFERROR(VLOOKUP(VLOOKUP(Table101111[[#This Row],[Move Name]],Table100[[Move Name]:[Save DC]],6,FALSE)-VLOOKUP('Facade Dashboard'!$B$20,Table6696[],MATCH(VLOOKUP(Table101111[[#This Row],[Move Name]],Table100[[Move Name]:[Save Type]],5,FALSE),Table6696[#Headers],0),FALSE),Probability[],10,FALSE),"")</f>
        <v/>
      </c>
      <c r="O54" s="21" t="str">
        <f>IFERROR(VLOOKUP(VLOOKUP(Table101111[[#This Row],[Move Name]],Table100[[Move Name]:[Save DC]],6,FALSE)-VLOOKUP('Facade Dashboard'!$B$20,Table6696[],MATCH(VLOOKUP(Table101111[[#This Row],[Move Name]],Table100[[Move Name]:[Save Type]],5,FALSE),Table6696[#Headers],0),FALSE),Probability[],7,FALSE),"")</f>
        <v/>
      </c>
    </row>
    <row r="55" spans="1:15" x14ac:dyDescent="0.35">
      <c r="A55" s="46">
        <v>12</v>
      </c>
      <c r="B55" t="str">
        <f>IFERROR(IF(VLOOKUP(CONCATENATE($B$20,Table82107[[#This Row],[Number ]]),Table70[[Move Number]:[Attack Roll or Save]],3,FALSE)="Attack Roll"," ",VLOOKUP(CONCATENATE($B$20,Table82107[[#This Row],[Number ]]),Table70[[Move Number]:[Move Name]],2,FALSE))," ")</f>
        <v xml:space="preserve"> </v>
      </c>
      <c r="C55" s="21" t="str">
        <f>IFERROR(VLOOKUP(VLOOKUP(Table82107[[#This Row],[Move Name]],Table70[[Move Name]:[Save DC]],6,FALSE)-VLOOKUP('Facade Dashboard'!$B$22,'Rules of the Game'!$V$3:$AJ$14,MATCH(VLOOKUP(Table82107[[#This Row],[Move Name]],Table70[[Move Name]:[Save Type]],5,FALSE),Enemies[#Headers],0),FALSE),'Rules of the Game'!$G$88:$T$108,4,FALSE),"")</f>
        <v/>
      </c>
      <c r="D55" t="str">
        <f>IFERROR((VLOOKUP(Table82107[[#This Row],[Move Name]],Table70[[Move Name]:[Average Damage]],14,FALSE)*Table82107[[#This Row],[% Creature Fails]])+(0.05*VLOOKUP(Table82107[[#This Row],[Move Name]],Table70[[Move Name]:[Average Damage]],14,FALSE)*2),"")</f>
        <v/>
      </c>
      <c r="E55" s="48" t="str">
        <f>IFERROR(VLOOKUP(VLOOKUP(Table82107[[#This Row],[Move Name]],Table70[[Move Name]:[Save DC]],6,FALSE)-VLOOKUP('Facade Dashboard'!$B$22,'Rules of the Game'!$V$3:$AJ$14,MATCH(VLOOKUP(Table82107[[#This Row],[Move Name]],Table70[[Move Name]:[Save Type]],5,FALSE),Enemies[#Headers],0),FALSE),'Rules of the Game'!$G$88:$T$108,7,FALSE),"")</f>
        <v/>
      </c>
      <c r="G55" t="str">
        <f>IFERROR((VLOOKUP(Table82107[[#This Row],[Move Name]],Table70[[Move Name]:[Average Damage]],14,FALSE)*Table82107[[#This Row],[% Creature Fails w/ ADV]])+(0.05*VLOOKUP(Table82107[[#This Row],[Move Name]],Table70[[Move Name]:[Average Damage]],14,FALSE)*2),"")</f>
        <v/>
      </c>
      <c r="H55" s="48" t="str">
        <f>IFERROR(VLOOKUP(VLOOKUP(Table82107[[#This Row],[Move Name]],Table70[[Move Name]:[Save DC]],6,FALSE)-VLOOKUP('Facade Dashboard'!$B$22,'Rules of the Game'!$V$3:$AJ$14,MATCH(VLOOKUP(Table82107[[#This Row],[Move Name]],Table70[[Move Name]:[Save Type]],5,FALSE),Enemies[#Headers],0),FALSE),'Rules of the Game'!$G$88:$T$108,10,FALSE),"")</f>
        <v/>
      </c>
      <c r="I55" t="str">
        <f>IFERROR((VLOOKUP(Table82107[[#This Row],[Move Name]],Table70[[Move Name]:[Average Damage]],14,FALSE)*Table82107[[#This Row],[% Creature Fails with DIS]])+(0.05*VLOOKUP(Table82107[[#This Row],[Move Name]],Table70[[Move Name]:[Average Damage]],14,FALSE)*2),"")</f>
        <v/>
      </c>
      <c r="K55">
        <v>6</v>
      </c>
      <c r="L55" s="2" t="str">
        <f>IFERROR(IF(VLOOKUP(CONCATENATE($B$22,Table101111[[#This Row],[Number]]),Table100[[Move Number]:[Attack Roll or Save]],3,FALSE)="Attack Roll","",VLOOKUP(CONCATENATE($B$22,Table101111[[#This Row],[Number]]),Table100[[Move Number]:[Move Name]],2,FALSE)),"")</f>
        <v/>
      </c>
      <c r="M55" s="58" t="str">
        <f>IFERROR(VLOOKUP(VLOOKUP(Table101111[[#This Row],[Move Name]],Table100[[Move Name]:[Save DC]],6,FALSE)-VLOOKUP('Facade Dashboard'!$B$20,Table6696[],MATCH(VLOOKUP(Table101111[[#This Row],[Move Name]],Table100[[Move Name]:[Save Type]],5,FALSE),Table6696[#Headers],0),FALSE),Probability[],4,FALSE),"")</f>
        <v/>
      </c>
      <c r="N55" s="21" t="str">
        <f>IFERROR(VLOOKUP(VLOOKUP(Table101111[[#This Row],[Move Name]],Table100[[Move Name]:[Save DC]],6,FALSE)-VLOOKUP('Facade Dashboard'!$B$20,Table6696[],MATCH(VLOOKUP(Table101111[[#This Row],[Move Name]],Table100[[Move Name]:[Save Type]],5,FALSE),Table6696[#Headers],0),FALSE),Probability[],10,FALSE),"")</f>
        <v/>
      </c>
      <c r="O55" s="21" t="str">
        <f>IFERROR(VLOOKUP(VLOOKUP(Table101111[[#This Row],[Move Name]],Table100[[Move Name]:[Save DC]],6,FALSE)-VLOOKUP('Facade Dashboard'!$B$20,Table6696[],MATCH(VLOOKUP(Table101111[[#This Row],[Move Name]],Table100[[Move Name]:[Save Type]],5,FALSE),Table6696[#Headers],0),FALSE),Probability[],7,FALSE),"")</f>
        <v/>
      </c>
    </row>
    <row r="56" spans="1:15" x14ac:dyDescent="0.35">
      <c r="A56" s="46">
        <v>13</v>
      </c>
      <c r="B56" s="2" t="str">
        <f>IFERROR(IF(VLOOKUP(CONCATENATE($B$20,Table82107[[#This Row],[Number ]]),Table70[[Move Number]:[Attack Roll or Save]],3,FALSE)="Attack Roll"," ",VLOOKUP(CONCATENATE($B$20,Table82107[[#This Row],[Number ]]),Table70[[Move Number]:[Move Name]],2,FALSE))," ")</f>
        <v xml:space="preserve"> </v>
      </c>
      <c r="C56" s="21" t="str">
        <f>IFERROR(VLOOKUP(VLOOKUP(Table82107[[#This Row],[Move Name]],Table70[[Move Name]:[Save DC]],6,FALSE)-VLOOKUP('Facade Dashboard'!$B$22,'Rules of the Game'!$V$3:$AJ$14,MATCH(VLOOKUP(Table82107[[#This Row],[Move Name]],Table70[[Move Name]:[Save Type]],5,FALSE),Enemies[#Headers],0),FALSE),'Rules of the Game'!$G$88:$T$108,4,FALSE),"")</f>
        <v/>
      </c>
      <c r="D56" s="2" t="str">
        <f>IFERROR((VLOOKUP(Table82107[[#This Row],[Move Name]],Table70[[Move Name]:[Average Damage]],14,FALSE)*Table82107[[#This Row],[% Creature Fails]])+(0.05*VLOOKUP(Table82107[[#This Row],[Move Name]],Table70[[Move Name]:[Average Damage]],14,FALSE)*2),"")</f>
        <v/>
      </c>
      <c r="E56" s="48" t="str">
        <f>IFERROR(VLOOKUP(VLOOKUP(Table82107[[#This Row],[Move Name]],Table70[[Move Name]:[Save DC]],6,FALSE)-VLOOKUP('Facade Dashboard'!$B$22,'Rules of the Game'!$V$3:$AJ$14,MATCH(VLOOKUP(Table82107[[#This Row],[Move Name]],Table70[[Move Name]:[Save Type]],5,FALSE),Enemies[#Headers],0),FALSE),'Rules of the Game'!$G$88:$T$108,7,FALSE),"")</f>
        <v/>
      </c>
      <c r="G56" t="str">
        <f>IFERROR((VLOOKUP(Table82107[[#This Row],[Move Name]],Table70[[Move Name]:[Average Damage]],14,FALSE)*Table82107[[#This Row],[% Creature Fails w/ ADV]])+(0.05*VLOOKUP(Table82107[[#This Row],[Move Name]],Table70[[Move Name]:[Average Damage]],14,FALSE)*2),"")</f>
        <v/>
      </c>
      <c r="H56" s="48" t="str">
        <f>IFERROR(VLOOKUP(VLOOKUP(Table82107[[#This Row],[Move Name]],Table70[[Move Name]:[Save DC]],6,FALSE)-VLOOKUP('Facade Dashboard'!$B$22,'Rules of the Game'!$V$3:$AJ$14,MATCH(VLOOKUP(Table82107[[#This Row],[Move Name]],Table70[[Move Name]:[Save Type]],5,FALSE),Enemies[#Headers],0),FALSE),'Rules of the Game'!$G$88:$T$108,10,FALSE),"")</f>
        <v/>
      </c>
      <c r="I56" s="2" t="str">
        <f>IFERROR((VLOOKUP(Table82107[[#This Row],[Move Name]],Table70[[Move Name]:[Average Damage]],14,FALSE)*Table82107[[#This Row],[% Creature Fails with DIS]])+(0.05*VLOOKUP(Table82107[[#This Row],[Move Name]],Table70[[Move Name]:[Average Damage]],14,FALSE)*2),"")</f>
        <v/>
      </c>
      <c r="K56">
        <v>7</v>
      </c>
      <c r="L56" s="2" t="str">
        <f>IFERROR(IF(VLOOKUP(CONCATENATE($B$22,Table101111[[#This Row],[Number]]),Table100[[Move Number]:[Attack Roll or Save]],3,FALSE)="Attack Roll","",VLOOKUP(CONCATENATE($B$22,Table101111[[#This Row],[Number]]),Table100[[Move Number]:[Move Name]],2,FALSE)),"")</f>
        <v/>
      </c>
      <c r="M56" s="58" t="str">
        <f>IFERROR(VLOOKUP(VLOOKUP(Table101111[[#This Row],[Move Name]],Table100[[Move Name]:[Save DC]],6,FALSE)-VLOOKUP('Facade Dashboard'!$B$20,Table6696[],MATCH(VLOOKUP(Table101111[[#This Row],[Move Name]],Table100[[Move Name]:[Save Type]],5,FALSE),Table6696[#Headers],0),FALSE),Probability[],4,FALSE),"")</f>
        <v/>
      </c>
      <c r="N56" s="21" t="str">
        <f>IFERROR(VLOOKUP(VLOOKUP(Table101111[[#This Row],[Move Name]],Table100[[Move Name]:[Save DC]],6,FALSE)-VLOOKUP('Facade Dashboard'!$B$20,Table6696[],MATCH(VLOOKUP(Table101111[[#This Row],[Move Name]],Table100[[Move Name]:[Save Type]],5,FALSE),Table6696[#Headers],0),FALSE),Probability[],10,FALSE),"")</f>
        <v/>
      </c>
      <c r="O56" s="21" t="str">
        <f>IFERROR(VLOOKUP(VLOOKUP(Table101111[[#This Row],[Move Name]],Table100[[Move Name]:[Save DC]],6,FALSE)-VLOOKUP('Facade Dashboard'!$B$20,Table6696[],MATCH(VLOOKUP(Table101111[[#This Row],[Move Name]],Table100[[Move Name]:[Save Type]],5,FALSE),Table6696[#Headers],0),FALSE),Probability[],7,FALSE),"")</f>
        <v/>
      </c>
    </row>
    <row r="57" spans="1:15" x14ac:dyDescent="0.35">
      <c r="A57" s="46">
        <v>14</v>
      </c>
      <c r="B57" s="2" t="str">
        <f>IFERROR(IF(VLOOKUP(CONCATENATE($B$20,Table82107[[#This Row],[Number ]]),Table70[[Move Number]:[Attack Roll or Save]],3,FALSE)="Attack Roll"," ",VLOOKUP(CONCATENATE($B$20,Table82107[[#This Row],[Number ]]),Table70[[Move Number]:[Move Name]],2,FALSE))," ")</f>
        <v xml:space="preserve"> </v>
      </c>
      <c r="C57" s="21" t="str">
        <f>IFERROR(VLOOKUP(VLOOKUP(Table82107[[#This Row],[Move Name]],Table70[[Move Name]:[Save DC]],6,FALSE)-VLOOKUP('Facade Dashboard'!$B$22,'Rules of the Game'!$V$3:$AJ$14,MATCH(VLOOKUP(Table82107[[#This Row],[Move Name]],Table70[[Move Name]:[Save Type]],5,FALSE),Enemies[#Headers],0),FALSE),'Rules of the Game'!$G$88:$T$108,4,FALSE),"")</f>
        <v/>
      </c>
      <c r="D57" s="2" t="str">
        <f>IFERROR((VLOOKUP(Table82107[[#This Row],[Move Name]],Table70[[Move Name]:[Average Damage]],14,FALSE)*Table82107[[#This Row],[% Creature Fails]])+(0.05*VLOOKUP(Table82107[[#This Row],[Move Name]],Table70[[Move Name]:[Average Damage]],14,FALSE)*2),"")</f>
        <v/>
      </c>
      <c r="E57" s="48" t="str">
        <f>IFERROR(VLOOKUP(VLOOKUP(Table82107[[#This Row],[Move Name]],Table70[[Move Name]:[Save DC]],6,FALSE)-VLOOKUP('Facade Dashboard'!$B$22,'Rules of the Game'!$V$3:$AJ$14,MATCH(VLOOKUP(Table82107[[#This Row],[Move Name]],Table70[[Move Name]:[Save Type]],5,FALSE),Enemies[#Headers],0),FALSE),'Rules of the Game'!$G$88:$T$108,7,FALSE),"")</f>
        <v/>
      </c>
      <c r="G57" t="str">
        <f>IFERROR((VLOOKUP(Table82107[[#This Row],[Move Name]],Table70[[Move Name]:[Average Damage]],14,FALSE)*Table82107[[#This Row],[% Creature Fails w/ ADV]])+(0.05*VLOOKUP(Table82107[[#This Row],[Move Name]],Table70[[Move Name]:[Average Damage]],14,FALSE)*2),"")</f>
        <v/>
      </c>
      <c r="H57" s="48" t="str">
        <f>IFERROR(VLOOKUP(VLOOKUP(Table82107[[#This Row],[Move Name]],Table70[[Move Name]:[Save DC]],6,FALSE)-VLOOKUP('Facade Dashboard'!$B$22,'Rules of the Game'!$V$3:$AJ$14,MATCH(VLOOKUP(Table82107[[#This Row],[Move Name]],Table70[[Move Name]:[Save Type]],5,FALSE),Enemies[#Headers],0),FALSE),'Rules of the Game'!$G$88:$T$108,10,FALSE),"")</f>
        <v/>
      </c>
      <c r="I57" s="2" t="str">
        <f>IFERROR((VLOOKUP(Table82107[[#This Row],[Move Name]],Table70[[Move Name]:[Average Damage]],14,FALSE)*Table82107[[#This Row],[% Creature Fails with DIS]])+(0.05*VLOOKUP(Table82107[[#This Row],[Move Name]],Table70[[Move Name]:[Average Damage]],14,FALSE)*2),"")</f>
        <v/>
      </c>
      <c r="K57">
        <v>8</v>
      </c>
      <c r="L57" s="2" t="str">
        <f>IFERROR(IF(VLOOKUP(CONCATENATE($B$22,Table101111[[#This Row],[Number]]),Table100[[Move Number]:[Attack Roll or Save]],3,FALSE)="Attack Roll","",VLOOKUP(CONCATENATE($B$22,Table101111[[#This Row],[Number]]),Table100[[Move Number]:[Move Name]],2,FALSE)),"")</f>
        <v/>
      </c>
      <c r="M57" s="58" t="str">
        <f>IFERROR(VLOOKUP(VLOOKUP(Table101111[[#This Row],[Move Name]],Table100[[Move Name]:[Save DC]],6,FALSE)-VLOOKUP('Facade Dashboard'!$B$20,Table6696[],MATCH(VLOOKUP(Table101111[[#This Row],[Move Name]],Table100[[Move Name]:[Save Type]],5,FALSE),Table6696[#Headers],0),FALSE),Probability[],4,FALSE),"")</f>
        <v/>
      </c>
      <c r="N57" s="21" t="str">
        <f>IFERROR(VLOOKUP(VLOOKUP(Table101111[[#This Row],[Move Name]],Table100[[Move Name]:[Save DC]],6,FALSE)-VLOOKUP('Facade Dashboard'!$B$20,Table6696[],MATCH(VLOOKUP(Table101111[[#This Row],[Move Name]],Table100[[Move Name]:[Save Type]],5,FALSE),Table6696[#Headers],0),FALSE),Probability[],10,FALSE),"")</f>
        <v/>
      </c>
      <c r="O57" s="21" t="str">
        <f>IFERROR(VLOOKUP(VLOOKUP(Table101111[[#This Row],[Move Name]],Table100[[Move Name]:[Save DC]],6,FALSE)-VLOOKUP('Facade Dashboard'!$B$20,Table6696[],MATCH(VLOOKUP(Table101111[[#This Row],[Move Name]],Table100[[Move Name]:[Save Type]],5,FALSE),Table6696[#Headers],0),FALSE),Probability[],7,FALSE),"")</f>
        <v/>
      </c>
    </row>
    <row r="58" spans="1:15" x14ac:dyDescent="0.35">
      <c r="A58" s="46">
        <v>15</v>
      </c>
      <c r="B58" s="2" t="str">
        <f>IFERROR(IF(VLOOKUP(CONCATENATE($B$20,Table82107[[#This Row],[Number ]]),Table70[[Move Number]:[Attack Roll or Save]],3,FALSE)="Attack Roll"," ",VLOOKUP(CONCATENATE($B$20,Table82107[[#This Row],[Number ]]),Table70[[Move Number]:[Move Name]],2,FALSE))," ")</f>
        <v xml:space="preserve"> </v>
      </c>
      <c r="C58" s="21" t="str">
        <f>IFERROR(VLOOKUP(VLOOKUP(Table82107[[#This Row],[Move Name]],Table70[[Move Name]:[Save DC]],6,FALSE)-VLOOKUP('Facade Dashboard'!$B$22,'Rules of the Game'!$V$3:$AJ$14,MATCH(VLOOKUP(Table82107[[#This Row],[Move Name]],Table70[[Move Name]:[Save Type]],5,FALSE),Enemies[#Headers],0),FALSE),'Rules of the Game'!$G$88:$T$108,4,FALSE),"")</f>
        <v/>
      </c>
      <c r="D58" s="2" t="str">
        <f>IFERROR((VLOOKUP(Table82107[[#This Row],[Move Name]],Table70[[Move Name]:[Average Damage]],14,FALSE)*Table82107[[#This Row],[% Creature Fails]])+(0.05*VLOOKUP(Table82107[[#This Row],[Move Name]],Table70[[Move Name]:[Average Damage]],14,FALSE)*2),"")</f>
        <v/>
      </c>
      <c r="E58" s="48" t="str">
        <f>IFERROR(VLOOKUP(VLOOKUP(Table82107[[#This Row],[Move Name]],Table70[[Move Name]:[Save DC]],6,FALSE)-VLOOKUP('Facade Dashboard'!$B$22,'Rules of the Game'!$V$3:$AJ$14,MATCH(VLOOKUP(Table82107[[#This Row],[Move Name]],Table70[[Move Name]:[Save Type]],5,FALSE),Enemies[#Headers],0),FALSE),'Rules of the Game'!$G$88:$T$108,7,FALSE),"")</f>
        <v/>
      </c>
      <c r="G58" t="str">
        <f>IFERROR((VLOOKUP(Table82107[[#This Row],[Move Name]],Table70[[Move Name]:[Average Damage]],14,FALSE)*Table82107[[#This Row],[% Creature Fails w/ ADV]])+(0.05*VLOOKUP(Table82107[[#This Row],[Move Name]],Table70[[Move Name]:[Average Damage]],14,FALSE)*2),"")</f>
        <v/>
      </c>
      <c r="H58" s="48" t="str">
        <f>IFERROR(VLOOKUP(VLOOKUP(Table82107[[#This Row],[Move Name]],Table70[[Move Name]:[Save DC]],6,FALSE)-VLOOKUP('Facade Dashboard'!$B$22,'Rules of the Game'!$V$3:$AJ$14,MATCH(VLOOKUP(Table82107[[#This Row],[Move Name]],Table70[[Move Name]:[Save Type]],5,FALSE),Enemies[#Headers],0),FALSE),'Rules of the Game'!$G$88:$T$108,10,FALSE),"")</f>
        <v/>
      </c>
      <c r="I58" s="2" t="str">
        <f>IFERROR((VLOOKUP(Table82107[[#This Row],[Move Name]],Table70[[Move Name]:[Average Damage]],14,FALSE)*Table82107[[#This Row],[% Creature Fails with DIS]])+(0.05*VLOOKUP(Table82107[[#This Row],[Move Name]],Table70[[Move Name]:[Average Damage]],14,FALSE)*2),"")</f>
        <v/>
      </c>
      <c r="K58">
        <v>9</v>
      </c>
      <c r="L58" s="2" t="str">
        <f>IFERROR(IF(VLOOKUP(CONCATENATE($B$22,Table101111[[#This Row],[Number]]),Table100[[Move Number]:[Attack Roll or Save]],3,FALSE)="Attack Roll","",VLOOKUP(CONCATENATE($B$22,Table101111[[#This Row],[Number]]),Table100[[Move Number]:[Move Name]],2,FALSE)),"")</f>
        <v/>
      </c>
      <c r="M58" s="58" t="str">
        <f>IFERROR(VLOOKUP(VLOOKUP(Table101111[[#This Row],[Move Name]],Table100[[Move Name]:[Save DC]],6,FALSE)-VLOOKUP('Facade Dashboard'!$B$20,Table6696[],MATCH(VLOOKUP(Table101111[[#This Row],[Move Name]],Table100[[Move Name]:[Save Type]],5,FALSE),Table6696[#Headers],0),FALSE),Probability[],4,FALSE),"")</f>
        <v/>
      </c>
      <c r="N58" s="21" t="str">
        <f>IFERROR(VLOOKUP(VLOOKUP(Table101111[[#This Row],[Move Name]],Table100[[Move Name]:[Save DC]],6,FALSE)-VLOOKUP('Facade Dashboard'!$B$20,Table6696[],MATCH(VLOOKUP(Table101111[[#This Row],[Move Name]],Table100[[Move Name]:[Save Type]],5,FALSE),Table6696[#Headers],0),FALSE),Probability[],10,FALSE),"")</f>
        <v/>
      </c>
      <c r="O58" s="21" t="str">
        <f>IFERROR(VLOOKUP(VLOOKUP(Table101111[[#This Row],[Move Name]],Table100[[Move Name]:[Save DC]],6,FALSE)-VLOOKUP('Facade Dashboard'!$B$20,Table6696[],MATCH(VLOOKUP(Table101111[[#This Row],[Move Name]],Table100[[Move Name]:[Save Type]],5,FALSE),Table6696[#Headers],0),FALSE),Probability[],7,FALSE),"")</f>
        <v/>
      </c>
    </row>
    <row r="59" spans="1:15" x14ac:dyDescent="0.35">
      <c r="A59" s="46">
        <v>16</v>
      </c>
      <c r="B59" s="2" t="str">
        <f>IFERROR(IF(VLOOKUP(CONCATENATE($B$20,Table82107[[#This Row],[Number ]]),Table70[[Move Number]:[Attack Roll or Save]],3,FALSE)="Attack Roll"," ",VLOOKUP(CONCATENATE($B$20,Table82107[[#This Row],[Number ]]),Table70[[Move Number]:[Move Name]],2,FALSE))," ")</f>
        <v xml:space="preserve"> </v>
      </c>
      <c r="C59" s="21" t="str">
        <f>IFERROR(VLOOKUP(VLOOKUP(Table82107[[#This Row],[Move Name]],Table70[[Move Name]:[Save DC]],6,FALSE)-VLOOKUP('Facade Dashboard'!$B$22,'Rules of the Game'!$V$3:$AJ$14,MATCH(VLOOKUP(Table82107[[#This Row],[Move Name]],Table70[[Move Name]:[Save Type]],5,FALSE),Enemies[#Headers],0),FALSE),'Rules of the Game'!$G$88:$T$108,4,FALSE),"")</f>
        <v/>
      </c>
      <c r="D59" s="2" t="str">
        <f>IFERROR((VLOOKUP(Table82107[[#This Row],[Move Name]],Table70[[Move Name]:[Average Damage]],14,FALSE)*Table82107[[#This Row],[% Creature Fails]])+(0.05*VLOOKUP(Table82107[[#This Row],[Move Name]],Table70[[Move Name]:[Average Damage]],14,FALSE)*2),"")</f>
        <v/>
      </c>
      <c r="E59" s="48" t="str">
        <f>IFERROR(VLOOKUP(VLOOKUP(Table82107[[#This Row],[Move Name]],Table70[[Move Name]:[Save DC]],6,FALSE)-VLOOKUP('Facade Dashboard'!$B$22,'Rules of the Game'!$V$3:$AJ$14,MATCH(VLOOKUP(Table82107[[#This Row],[Move Name]],Table70[[Move Name]:[Save Type]],5,FALSE),Enemies[#Headers],0),FALSE),'Rules of the Game'!$G$88:$T$108,7,FALSE),"")</f>
        <v/>
      </c>
      <c r="G59" t="str">
        <f>IFERROR((VLOOKUP(Table82107[[#This Row],[Move Name]],Table70[[Move Name]:[Average Damage]],14,FALSE)*Table82107[[#This Row],[% Creature Fails w/ ADV]])+(0.05*VLOOKUP(Table82107[[#This Row],[Move Name]],Table70[[Move Name]:[Average Damage]],14,FALSE)*2),"")</f>
        <v/>
      </c>
      <c r="H59" s="48" t="str">
        <f>IFERROR(VLOOKUP(VLOOKUP(Table82107[[#This Row],[Move Name]],Table70[[Move Name]:[Save DC]],6,FALSE)-VLOOKUP('Facade Dashboard'!$B$22,'Rules of the Game'!$V$3:$AJ$14,MATCH(VLOOKUP(Table82107[[#This Row],[Move Name]],Table70[[Move Name]:[Save Type]],5,FALSE),Enemies[#Headers],0),FALSE),'Rules of the Game'!$G$88:$T$108,10,FALSE),"")</f>
        <v/>
      </c>
      <c r="I59" s="2" t="str">
        <f>IFERROR((VLOOKUP(Table82107[[#This Row],[Move Name]],Table70[[Move Name]:[Average Damage]],14,FALSE)*Table82107[[#This Row],[% Creature Fails with DIS]])+(0.05*VLOOKUP(Table82107[[#This Row],[Move Name]],Table70[[Move Name]:[Average Damage]],14,FALSE)*2),"")</f>
        <v/>
      </c>
    </row>
    <row r="60" spans="1:15" x14ac:dyDescent="0.35">
      <c r="A60" s="46">
        <v>17</v>
      </c>
      <c r="B60" s="2" t="str">
        <f>IFERROR(IF(VLOOKUP(CONCATENATE($B$20,Table82107[[#This Row],[Number ]]),Table70[[Move Number]:[Attack Roll or Save]],3,FALSE)="Attack Roll"," ",VLOOKUP(CONCATENATE($B$20,Table82107[[#This Row],[Number ]]),Table70[[Move Number]:[Move Name]],2,FALSE))," ")</f>
        <v xml:space="preserve"> </v>
      </c>
      <c r="C60" s="21" t="str">
        <f>IFERROR(VLOOKUP(VLOOKUP(Table82107[[#This Row],[Move Name]],Table70[[Move Name]:[Save DC]],6,FALSE)-VLOOKUP('Facade Dashboard'!$B$22,'Rules of the Game'!$V$3:$AJ$14,MATCH(VLOOKUP(Table82107[[#This Row],[Move Name]],Table70[[Move Name]:[Save Type]],5,FALSE),Enemies[#Headers],0),FALSE),'Rules of the Game'!$G$88:$T$108,4,FALSE),"")</f>
        <v/>
      </c>
      <c r="D60" s="2" t="str">
        <f>IFERROR((VLOOKUP(Table82107[[#This Row],[Move Name]],Table70[[Move Name]:[Average Damage]],14,FALSE)*Table82107[[#This Row],[% Creature Fails]])+(0.05*VLOOKUP(Table82107[[#This Row],[Move Name]],Table70[[Move Name]:[Average Damage]],14,FALSE)*2),"")</f>
        <v/>
      </c>
      <c r="E60" s="48" t="str">
        <f>IFERROR(VLOOKUP(VLOOKUP(Table82107[[#This Row],[Move Name]],Table70[[Move Name]:[Save DC]],6,FALSE)-VLOOKUP('Facade Dashboard'!$B$22,'Rules of the Game'!$V$3:$AJ$14,MATCH(VLOOKUP(Table82107[[#This Row],[Move Name]],Table70[[Move Name]:[Save Type]],5,FALSE),Enemies[#Headers],0),FALSE),'Rules of the Game'!$G$88:$T$108,7,FALSE),"")</f>
        <v/>
      </c>
      <c r="G60" t="str">
        <f>IFERROR((VLOOKUP(Table82107[[#This Row],[Move Name]],Table70[[Move Name]:[Average Damage]],14,FALSE)*Table82107[[#This Row],[% Creature Fails w/ ADV]])+(0.05*VLOOKUP(Table82107[[#This Row],[Move Name]],Table70[[Move Name]:[Average Damage]],14,FALSE)*2),"")</f>
        <v/>
      </c>
      <c r="H60" s="48" t="str">
        <f>IFERROR(VLOOKUP(VLOOKUP(Table82107[[#This Row],[Move Name]],Table70[[Move Name]:[Save DC]],6,FALSE)-VLOOKUP('Facade Dashboard'!$B$22,'Rules of the Game'!$V$3:$AJ$14,MATCH(VLOOKUP(Table82107[[#This Row],[Move Name]],Table70[[Move Name]:[Save Type]],5,FALSE),Enemies[#Headers],0),FALSE),'Rules of the Game'!$G$88:$T$108,10,FALSE),"")</f>
        <v/>
      </c>
      <c r="I60" s="2" t="str">
        <f>IFERROR((VLOOKUP(Table82107[[#This Row],[Move Name]],Table70[[Move Name]:[Average Damage]],14,FALSE)*Table82107[[#This Row],[% Creature Fails with DIS]])+(0.05*VLOOKUP(Table82107[[#This Row],[Move Name]],Table70[[Move Name]:[Average Damage]],14,FALSE)*2),"")</f>
        <v/>
      </c>
    </row>
    <row r="61" spans="1:15" x14ac:dyDescent="0.35">
      <c r="A61" s="46">
        <v>18</v>
      </c>
      <c r="B61" s="2" t="str">
        <f>IFERROR(IF(VLOOKUP(CONCATENATE($B$20,Table82107[[#This Row],[Number ]]),Table70[[Move Number]:[Attack Roll or Save]],3,FALSE)="Attack Roll"," ",VLOOKUP(CONCATENATE($B$20,Table82107[[#This Row],[Number ]]),Table70[[Move Number]:[Move Name]],2,FALSE))," ")</f>
        <v xml:space="preserve"> </v>
      </c>
      <c r="C61" s="21" t="str">
        <f>IFERROR(VLOOKUP(VLOOKUP(Table82107[[#This Row],[Move Name]],Table70[[Move Name]:[Save DC]],6,FALSE)-VLOOKUP('Facade Dashboard'!$B$22,'Rules of the Game'!$V$3:$AJ$14,MATCH(VLOOKUP(Table82107[[#This Row],[Move Name]],Table70[[Move Name]:[Save Type]],5,FALSE),Enemies[#Headers],0),FALSE),'Rules of the Game'!$G$88:$T$108,4,FALSE),"")</f>
        <v/>
      </c>
      <c r="D61" s="2" t="str">
        <f>IFERROR((VLOOKUP(Table82107[[#This Row],[Move Name]],Table70[[Move Name]:[Average Damage]],14,FALSE)*Table82107[[#This Row],[% Creature Fails]])+(0.05*VLOOKUP(Table82107[[#This Row],[Move Name]],Table70[[Move Name]:[Average Damage]],14,FALSE)*2),"")</f>
        <v/>
      </c>
      <c r="E61" s="48" t="str">
        <f>IFERROR(VLOOKUP(VLOOKUP(Table82107[[#This Row],[Move Name]],Table70[[Move Name]:[Save DC]],6,FALSE)-VLOOKUP('Facade Dashboard'!$B$22,'Rules of the Game'!$V$3:$AJ$14,MATCH(VLOOKUP(Table82107[[#This Row],[Move Name]],Table70[[Move Name]:[Save Type]],5,FALSE),Enemies[#Headers],0),FALSE),'Rules of the Game'!$G$88:$T$108,7,FALSE),"")</f>
        <v/>
      </c>
      <c r="G61" t="str">
        <f>IFERROR((VLOOKUP(Table82107[[#This Row],[Move Name]],Table70[[Move Name]:[Average Damage]],14,FALSE)*Table82107[[#This Row],[% Creature Fails w/ ADV]])+(0.05*VLOOKUP(Table82107[[#This Row],[Move Name]],Table70[[Move Name]:[Average Damage]],14,FALSE)*2),"")</f>
        <v/>
      </c>
      <c r="H61" s="48" t="str">
        <f>IFERROR(VLOOKUP(VLOOKUP(Table82107[[#This Row],[Move Name]],Table70[[Move Name]:[Save DC]],6,FALSE)-VLOOKUP('Facade Dashboard'!$B$22,'Rules of the Game'!$V$3:$AJ$14,MATCH(VLOOKUP(Table82107[[#This Row],[Move Name]],Table70[[Move Name]:[Save Type]],5,FALSE),Enemies[#Headers],0),FALSE),'Rules of the Game'!$G$88:$T$108,10,FALSE),"")</f>
        <v/>
      </c>
      <c r="I61" s="2" t="str">
        <f>IFERROR((VLOOKUP(Table82107[[#This Row],[Move Name]],Table70[[Move Name]:[Average Damage]],14,FALSE)*Table82107[[#This Row],[% Creature Fails with DIS]])+(0.05*VLOOKUP(Table82107[[#This Row],[Move Name]],Table70[[Move Name]:[Average Damage]],14,FALSE)*2),"")</f>
        <v/>
      </c>
    </row>
    <row r="63" spans="1:15" x14ac:dyDescent="0.35">
      <c r="A63" s="1" t="s">
        <v>340</v>
      </c>
      <c r="E63" t="s">
        <v>480</v>
      </c>
    </row>
    <row r="64" spans="1:15" x14ac:dyDescent="0.35">
      <c r="A64" t="s">
        <v>297</v>
      </c>
      <c r="B64" t="s">
        <v>341</v>
      </c>
      <c r="C64" t="s">
        <v>308</v>
      </c>
      <c r="E64" t="s">
        <v>297</v>
      </c>
      <c r="F64" t="s">
        <v>112</v>
      </c>
      <c r="G64" t="s">
        <v>415</v>
      </c>
      <c r="H64" t="s">
        <v>414</v>
      </c>
      <c r="I64" t="s">
        <v>413</v>
      </c>
      <c r="J64" t="s">
        <v>410</v>
      </c>
      <c r="K64" t="s">
        <v>411</v>
      </c>
      <c r="L64" t="s">
        <v>412</v>
      </c>
    </row>
    <row r="65" spans="2:17" x14ac:dyDescent="0.35">
      <c r="B65" t="str">
        <f>IFERROR(VLOOKUP(Table5193[[#This Row],[Creature]],Summons[],2,FALSE),"")</f>
        <v/>
      </c>
      <c r="C65" t="str">
        <f>IFERROR(VLOOKUP(Table5193[[#This Row],[Creature]],Summons[],3,FALSE),"")</f>
        <v/>
      </c>
      <c r="E65" t="s">
        <v>242</v>
      </c>
      <c r="G65">
        <f>'Drow Arachnomancer'!$E$2</f>
        <v>0</v>
      </c>
      <c r="H65">
        <f>'Drow Arachnomancer'!$E$3</f>
        <v>3</v>
      </c>
      <c r="I65">
        <f>'Drow Arachnomancer'!$E$4</f>
        <v>10</v>
      </c>
      <c r="J65">
        <f>'Drow Arachnomancer'!$E$5</f>
        <v>13</v>
      </c>
      <c r="K65">
        <f>'Drow Arachnomancer'!$E$6</f>
        <v>8</v>
      </c>
      <c r="L65">
        <f>'Drow Arachnomancer'!$E$7</f>
        <v>10</v>
      </c>
    </row>
    <row r="66" spans="2:17" x14ac:dyDescent="0.35">
      <c r="B66" t="str">
        <f>IFERROR(VLOOKUP(Table5193[[#This Row],[Creature]],Summons[],2,FALSE),"")</f>
        <v/>
      </c>
      <c r="C66" t="str">
        <f>IFERROR(VLOOKUP(Table5193[[#This Row],[Creature]],Summons[],3,FALSE),"")</f>
        <v/>
      </c>
      <c r="E66" t="s">
        <v>54</v>
      </c>
      <c r="G66">
        <f>Archdruid!$E$2</f>
        <v>0</v>
      </c>
      <c r="H66">
        <f>Archdruid!$E$3</f>
        <v>2</v>
      </c>
      <c r="I66">
        <f>Archdruid!$E$4</f>
        <v>9</v>
      </c>
      <c r="J66">
        <f>Archdruid!$E$5</f>
        <v>13</v>
      </c>
      <c r="K66">
        <f>Archdruid!$E$6</f>
        <v>8</v>
      </c>
      <c r="L66">
        <f>Archdruid!$E$7</f>
        <v>2</v>
      </c>
    </row>
    <row r="67" spans="2:17" x14ac:dyDescent="0.35">
      <c r="B67" t="str">
        <f>IFERROR(VLOOKUP(Table5193[[#This Row],[Creature]],Summons[],2,FALSE),"")</f>
        <v/>
      </c>
      <c r="C67" t="str">
        <f>IFERROR(VLOOKUP(Table5193[[#This Row],[Creature]],Summons[],3,FALSE),"")</f>
        <v/>
      </c>
      <c r="E67" s="16" t="s">
        <v>55</v>
      </c>
      <c r="G67">
        <f>'Conclave Dryad'!$E$2</f>
        <v>1</v>
      </c>
      <c r="H67">
        <f>'Conclave Dryad'!$E$3</f>
        <v>4</v>
      </c>
      <c r="I67">
        <f>'Conclave Dryad'!$E$4</f>
        <v>10</v>
      </c>
      <c r="J67">
        <f>'Conclave Dryad'!$E$5</f>
        <v>13</v>
      </c>
      <c r="K67">
        <f>'Conclave Dryad'!$E$6</f>
        <v>8</v>
      </c>
      <c r="L67">
        <f>'Conclave Dryad'!$E$7</f>
        <v>10</v>
      </c>
    </row>
    <row r="68" spans="2:17" x14ac:dyDescent="0.35">
      <c r="E68" t="s">
        <v>489</v>
      </c>
      <c r="G68">
        <f>Facade!$E$2</f>
        <v>0</v>
      </c>
      <c r="H68">
        <f>Facade!$E$3</f>
        <v>5</v>
      </c>
      <c r="I68">
        <f>Facade!$E$4</f>
        <v>10</v>
      </c>
      <c r="J68">
        <f>Facade!$E$5</f>
        <v>13</v>
      </c>
      <c r="K68">
        <f>Facade!$E$6</f>
        <v>8</v>
      </c>
      <c r="L68">
        <f>Facade!$E$7</f>
        <v>2</v>
      </c>
    </row>
    <row r="69" spans="2:17" x14ac:dyDescent="0.35">
      <c r="E69" t="s">
        <v>57</v>
      </c>
      <c r="G69">
        <f>'Gallows Speaker'!$E$2</f>
        <v>-1</v>
      </c>
      <c r="H69">
        <f>'Gallows Speaker'!$E$3</f>
        <v>2</v>
      </c>
      <c r="I69">
        <f>'Gallows Speaker'!$E$4</f>
        <v>8</v>
      </c>
      <c r="J69">
        <f>'Gallows Speaker'!$E$5</f>
        <v>13</v>
      </c>
      <c r="K69">
        <f>'Gallows Speaker'!$E$6</f>
        <v>8</v>
      </c>
      <c r="L69">
        <f>'Gallows Speaker'!$E$7</f>
        <v>2</v>
      </c>
    </row>
    <row r="70" spans="2:17" x14ac:dyDescent="0.35">
      <c r="E70" t="s">
        <v>58</v>
      </c>
      <c r="G70">
        <f>'Ghost (CR 16)'!$E$2</f>
        <v>1</v>
      </c>
      <c r="H70">
        <f>'Ghost (CR 16)'!$E$3</f>
        <v>4</v>
      </c>
      <c r="I70">
        <f>'Gallows Speaker'!$E$4</f>
        <v>8</v>
      </c>
      <c r="J70">
        <f>'Ghost (CR 16)'!$E$5</f>
        <v>13</v>
      </c>
      <c r="K70">
        <f>'Ghost (CR 16)'!$E$6</f>
        <v>8</v>
      </c>
      <c r="L70">
        <f>'Ghost (CR 16)'!$E$7</f>
        <v>2</v>
      </c>
    </row>
    <row r="71" spans="2:17" x14ac:dyDescent="0.35">
      <c r="E71" t="s">
        <v>299</v>
      </c>
      <c r="G71">
        <f>Gloomweaver!$E$2</f>
        <v>0</v>
      </c>
      <c r="H71">
        <f>Gloomweaver!$E$3</f>
        <v>12</v>
      </c>
      <c r="I71">
        <f>Gloomweaver!$E$4</f>
        <v>10</v>
      </c>
      <c r="J71">
        <f>Gloomweaver!$E$5</f>
        <v>13</v>
      </c>
      <c r="K71">
        <f>Gloomweaver!$E$6</f>
        <v>8</v>
      </c>
      <c r="L71">
        <f>Gloomweaver!$E$7</f>
        <v>2</v>
      </c>
    </row>
    <row r="72" spans="2:17" x14ac:dyDescent="0.35">
      <c r="E72" s="16" t="s">
        <v>60</v>
      </c>
      <c r="G72">
        <f>'Ki-rin'!$E$2</f>
        <v>5</v>
      </c>
      <c r="H72">
        <f>'Ki-rin'!$E$3</f>
        <v>3</v>
      </c>
      <c r="I72">
        <f>'Ki-rin'!$E$4</f>
        <v>11</v>
      </c>
      <c r="J72">
        <f>'Ki-rin'!$E$5</f>
        <v>13</v>
      </c>
      <c r="K72">
        <f>'Ki-rin'!$E$6</f>
        <v>8</v>
      </c>
      <c r="L72">
        <f>'Ki-rin'!$E$7</f>
        <v>2</v>
      </c>
    </row>
    <row r="73" spans="2:17" x14ac:dyDescent="0.35">
      <c r="E73" s="16" t="s">
        <v>61</v>
      </c>
      <c r="G73">
        <f>Neothelid!$E$2</f>
        <v>8</v>
      </c>
      <c r="H73">
        <f>Neothelid!$E$3</f>
        <v>-2</v>
      </c>
      <c r="I73">
        <f>Neothelid!$E$4</f>
        <v>13</v>
      </c>
      <c r="J73">
        <f>Neothelid!$E$5</f>
        <v>13</v>
      </c>
      <c r="K73">
        <f>Neothelid!$E$6</f>
        <v>8</v>
      </c>
      <c r="L73">
        <f>Neothelid!$E$7</f>
        <v>10</v>
      </c>
    </row>
    <row r="74" spans="2:17" x14ac:dyDescent="0.35">
      <c r="E74" t="s">
        <v>300</v>
      </c>
      <c r="G74">
        <f>'Oni Nothic'!$E$2</f>
        <v>4</v>
      </c>
      <c r="H74">
        <f>'Oni Nothic'!$E$3</f>
        <v>11</v>
      </c>
      <c r="I74">
        <f>'Oni Nothic'!$E$4</f>
        <v>11</v>
      </c>
      <c r="J74">
        <f>'Oni Nothic'!$E$5</f>
        <v>13</v>
      </c>
      <c r="K74">
        <f>'Oni Nothic'!$E$6</f>
        <v>8</v>
      </c>
      <c r="L74">
        <f>'Oni Nothic'!$E$7</f>
        <v>10</v>
      </c>
    </row>
    <row r="75" spans="2:17" x14ac:dyDescent="0.35">
      <c r="E75" s="16" t="s">
        <v>63</v>
      </c>
      <c r="G75">
        <f>Rakshasa!$E$2</f>
        <v>2</v>
      </c>
      <c r="H75">
        <f>Rakshasa!$E$3</f>
        <v>3</v>
      </c>
      <c r="I75">
        <f>Rakshasa!$E$4</f>
        <v>12</v>
      </c>
      <c r="J75">
        <f>Rakshasa!$E$5</f>
        <v>13</v>
      </c>
      <c r="K75">
        <f>Rakshasa!$E$6</f>
        <v>8</v>
      </c>
      <c r="L75">
        <f>Rakshasa!$E$7</f>
        <v>2</v>
      </c>
    </row>
    <row r="76" spans="2:17" x14ac:dyDescent="0.35">
      <c r="E76" t="s">
        <v>64</v>
      </c>
      <c r="G76">
        <f>'Vampire Spectator'!$E$2</f>
        <v>4</v>
      </c>
      <c r="H76">
        <f>'Vampire Spectator'!$E$3</f>
        <v>12</v>
      </c>
      <c r="I76">
        <f>'Vampire Spectator'!$E$4</f>
        <v>12</v>
      </c>
      <c r="J76">
        <f>'Vampire Spectator'!$E$5</f>
        <v>13</v>
      </c>
      <c r="K76">
        <f>'Vampire Spectator'!$E$6</f>
        <v>8</v>
      </c>
      <c r="L76">
        <f>'Vampire Spectator'!$E$7</f>
        <v>10</v>
      </c>
    </row>
    <row r="78" spans="2:17" x14ac:dyDescent="0.35">
      <c r="E78" t="s">
        <v>483</v>
      </c>
    </row>
    <row r="79" spans="2:17" x14ac:dyDescent="0.35">
      <c r="E79" t="s">
        <v>297</v>
      </c>
      <c r="F79" t="s">
        <v>112</v>
      </c>
      <c r="G79" t="s">
        <v>45</v>
      </c>
      <c r="H79" t="s">
        <v>41</v>
      </c>
      <c r="I79" t="s">
        <v>35</v>
      </c>
      <c r="J79" t="s">
        <v>28</v>
      </c>
      <c r="K79" t="s">
        <v>23</v>
      </c>
      <c r="L79" t="s">
        <v>18</v>
      </c>
      <c r="M79" t="s">
        <v>15</v>
      </c>
      <c r="N79" t="s">
        <v>66</v>
      </c>
      <c r="O79" t="s">
        <v>10</v>
      </c>
      <c r="P79" t="s">
        <v>487</v>
      </c>
      <c r="Q79" t="s">
        <v>488</v>
      </c>
    </row>
    <row r="80" spans="2:17" x14ac:dyDescent="0.35">
      <c r="E80" t="s">
        <v>242</v>
      </c>
      <c r="G80">
        <v>4</v>
      </c>
      <c r="H80">
        <v>3</v>
      </c>
      <c r="I80">
        <v>3</v>
      </c>
      <c r="J80">
        <v>3</v>
      </c>
      <c r="K80">
        <v>6</v>
      </c>
      <c r="L80">
        <v>2</v>
      </c>
      <c r="M80">
        <v>2</v>
      </c>
      <c r="N80">
        <v>1</v>
      </c>
      <c r="O80">
        <v>1</v>
      </c>
      <c r="P80">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26</v>
      </c>
      <c r="Q80">
        <f>SlotTracker104[[#This Row],[Spell Presence]]-SUMIFS(Table68103[Weight],Table68103[Creature Casting],SlotTracker104[[#This Row],[Creature]])</f>
        <v>26</v>
      </c>
    </row>
    <row r="81" spans="5:17" x14ac:dyDescent="0.35">
      <c r="E81" t="s">
        <v>54</v>
      </c>
      <c r="G81">
        <v>8</v>
      </c>
      <c r="H81">
        <v>6</v>
      </c>
      <c r="I81">
        <v>6</v>
      </c>
      <c r="J81">
        <v>6</v>
      </c>
      <c r="K81">
        <v>6</v>
      </c>
      <c r="L81">
        <v>3</v>
      </c>
      <c r="M81">
        <v>3</v>
      </c>
      <c r="N81">
        <v>2</v>
      </c>
      <c r="O81">
        <v>2</v>
      </c>
      <c r="P81">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42</v>
      </c>
      <c r="Q81">
        <f>SlotTracker104[[#This Row],[Spell Presence]]-SUMIFS(Table68103[Weight],Table68103[Creature Casting],SlotTracker104[[#This Row],[Creature]])</f>
        <v>42</v>
      </c>
    </row>
    <row r="82" spans="5:17" x14ac:dyDescent="0.35">
      <c r="E82" t="s">
        <v>55</v>
      </c>
      <c r="G82">
        <v>4</v>
      </c>
      <c r="H82">
        <v>3</v>
      </c>
      <c r="I82">
        <v>3</v>
      </c>
      <c r="J82">
        <v>3</v>
      </c>
      <c r="K82">
        <v>3</v>
      </c>
      <c r="L82">
        <v>2</v>
      </c>
      <c r="M82">
        <v>2</v>
      </c>
      <c r="N82">
        <v>1</v>
      </c>
      <c r="O82">
        <v>1</v>
      </c>
      <c r="P82">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23</v>
      </c>
      <c r="Q82">
        <f>SlotTracker104[[#This Row],[Spell Presence]]-SUMIFS(Table68103[Weight],Table68103[Creature Casting],SlotTracker104[[#This Row],[Creature]])</f>
        <v>23</v>
      </c>
    </row>
    <row r="83" spans="5:17" x14ac:dyDescent="0.35">
      <c r="E83" t="s">
        <v>489</v>
      </c>
      <c r="G83">
        <v>4</v>
      </c>
      <c r="H83">
        <v>3</v>
      </c>
      <c r="I83">
        <v>3</v>
      </c>
      <c r="J83">
        <v>3</v>
      </c>
      <c r="K83">
        <v>3</v>
      </c>
      <c r="L83">
        <v>2</v>
      </c>
      <c r="M83">
        <v>2</v>
      </c>
      <c r="N83">
        <v>1</v>
      </c>
      <c r="O83">
        <v>1</v>
      </c>
      <c r="P83">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23</v>
      </c>
      <c r="Q83">
        <f>SlotTracker104[[#This Row],[Spell Presence]]-SUMIFS(Table68103[Weight],Table68103[Creature Casting],SlotTracker104[[#This Row],[Creature]])</f>
        <v>23</v>
      </c>
    </row>
    <row r="84" spans="5:17" x14ac:dyDescent="0.35">
      <c r="E84" t="s">
        <v>57</v>
      </c>
      <c r="G84">
        <v>4</v>
      </c>
      <c r="H84">
        <v>3</v>
      </c>
      <c r="I84">
        <v>3</v>
      </c>
      <c r="J84">
        <v>3</v>
      </c>
      <c r="K84">
        <v>6</v>
      </c>
      <c r="L84">
        <v>2</v>
      </c>
      <c r="M84">
        <v>2</v>
      </c>
      <c r="N84">
        <v>1</v>
      </c>
      <c r="O84">
        <v>1</v>
      </c>
      <c r="P84">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26</v>
      </c>
      <c r="Q84">
        <f>SlotTracker104[[#This Row],[Spell Presence]]-SUMIFS(Table68103[Weight],Table68103[Creature Casting],SlotTracker104[[#This Row],[Creature]])</f>
        <v>26</v>
      </c>
    </row>
    <row r="85" spans="5:17" x14ac:dyDescent="0.35">
      <c r="E85" t="s">
        <v>58</v>
      </c>
      <c r="G85">
        <v>4</v>
      </c>
      <c r="H85">
        <v>3</v>
      </c>
      <c r="I85">
        <v>3</v>
      </c>
      <c r="J85">
        <v>3</v>
      </c>
      <c r="K85">
        <v>3</v>
      </c>
      <c r="L85">
        <v>2</v>
      </c>
      <c r="M85">
        <v>2</v>
      </c>
      <c r="N85">
        <v>1</v>
      </c>
      <c r="O85">
        <v>1</v>
      </c>
      <c r="P85">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23</v>
      </c>
      <c r="Q85">
        <f>SlotTracker104[[#This Row],[Spell Presence]]-SUMIFS(Table68103[Weight],Table68103[Creature Casting],SlotTracker104[[#This Row],[Creature]])</f>
        <v>23</v>
      </c>
    </row>
    <row r="86" spans="5:17" x14ac:dyDescent="0.35">
      <c r="E86" t="s">
        <v>299</v>
      </c>
      <c r="G86">
        <v>4</v>
      </c>
      <c r="H86">
        <v>3</v>
      </c>
      <c r="I86">
        <v>3</v>
      </c>
      <c r="J86">
        <v>3</v>
      </c>
      <c r="K86">
        <v>6</v>
      </c>
      <c r="L86">
        <v>2</v>
      </c>
      <c r="M86">
        <v>2</v>
      </c>
      <c r="N86">
        <v>1</v>
      </c>
      <c r="O86">
        <v>1</v>
      </c>
      <c r="P86">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26</v>
      </c>
      <c r="Q86">
        <f>SlotTracker104[[#This Row],[Spell Presence]]-SUMIFS(Table68103[Weight],Table68103[Creature Casting],SlotTracker104[[#This Row],[Creature]])</f>
        <v>26</v>
      </c>
    </row>
    <row r="87" spans="5:17" x14ac:dyDescent="0.35">
      <c r="E87" t="s">
        <v>344</v>
      </c>
      <c r="G87">
        <v>4</v>
      </c>
      <c r="H87">
        <v>3</v>
      </c>
      <c r="I87">
        <v>3</v>
      </c>
      <c r="J87">
        <v>3</v>
      </c>
      <c r="K87">
        <v>3</v>
      </c>
      <c r="L87">
        <v>2</v>
      </c>
      <c r="M87">
        <v>2</v>
      </c>
      <c r="N87">
        <v>1</v>
      </c>
      <c r="O87">
        <v>0</v>
      </c>
      <c r="P87">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20</v>
      </c>
      <c r="Q87">
        <f>SlotTracker104[[#This Row],[Spell Presence]]-SUMIFS(Table68103[Weight],Table68103[Creature Casting],SlotTracker104[[#This Row],[Creature]])</f>
        <v>20</v>
      </c>
    </row>
    <row r="88" spans="5:17" x14ac:dyDescent="0.35">
      <c r="E88" t="s">
        <v>60</v>
      </c>
      <c r="G88">
        <v>8</v>
      </c>
      <c r="H88">
        <v>6</v>
      </c>
      <c r="I88">
        <v>6</v>
      </c>
      <c r="J88">
        <v>6</v>
      </c>
      <c r="K88">
        <v>6</v>
      </c>
      <c r="L88">
        <v>3</v>
      </c>
      <c r="M88">
        <v>3</v>
      </c>
      <c r="N88">
        <v>2</v>
      </c>
      <c r="O88">
        <v>2</v>
      </c>
      <c r="P88">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42</v>
      </c>
      <c r="Q88">
        <f>SlotTracker104[[#This Row],[Spell Presence]]-SUMIFS(Table68103[Weight],Table68103[Creature Casting],SlotTracker104[[#This Row],[Creature]])</f>
        <v>42</v>
      </c>
    </row>
    <row r="89" spans="5:17" x14ac:dyDescent="0.35">
      <c r="E89" t="s">
        <v>61</v>
      </c>
      <c r="G89">
        <v>4</v>
      </c>
      <c r="H89">
        <v>3</v>
      </c>
      <c r="I89">
        <v>3</v>
      </c>
      <c r="J89">
        <v>3</v>
      </c>
      <c r="K89">
        <v>3</v>
      </c>
      <c r="L89">
        <v>2</v>
      </c>
      <c r="M89">
        <v>2</v>
      </c>
      <c r="N89">
        <v>1</v>
      </c>
      <c r="O89">
        <v>1</v>
      </c>
      <c r="P89">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23</v>
      </c>
      <c r="Q89">
        <f>SlotTracker104[[#This Row],[Spell Presence]]-SUMIFS(Table68103[Weight],Table68103[Creature Casting],SlotTracker104[[#This Row],[Creature]])</f>
        <v>23</v>
      </c>
    </row>
    <row r="90" spans="5:17" x14ac:dyDescent="0.35">
      <c r="E90" t="s">
        <v>300</v>
      </c>
      <c r="G90">
        <v>4</v>
      </c>
      <c r="H90">
        <v>3</v>
      </c>
      <c r="I90">
        <v>3</v>
      </c>
      <c r="J90">
        <v>3</v>
      </c>
      <c r="K90">
        <v>3</v>
      </c>
      <c r="L90">
        <v>2</v>
      </c>
      <c r="M90">
        <v>2</v>
      </c>
      <c r="N90">
        <v>1</v>
      </c>
      <c r="O90">
        <v>1</v>
      </c>
      <c r="P90">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23</v>
      </c>
      <c r="Q90">
        <f>SlotTracker104[[#This Row],[Spell Presence]]-SUMIFS(Table68103[Weight],Table68103[Creature Casting],SlotTracker104[[#This Row],[Creature]])</f>
        <v>23</v>
      </c>
    </row>
    <row r="91" spans="5:17" x14ac:dyDescent="0.35">
      <c r="E91" t="s">
        <v>486</v>
      </c>
      <c r="G91">
        <v>4</v>
      </c>
      <c r="H91">
        <v>3</v>
      </c>
      <c r="I91">
        <v>3</v>
      </c>
      <c r="J91">
        <v>3</v>
      </c>
      <c r="K91">
        <v>3</v>
      </c>
      <c r="L91">
        <v>2</v>
      </c>
      <c r="M91">
        <v>2</v>
      </c>
      <c r="N91">
        <v>1</v>
      </c>
      <c r="O91">
        <v>1</v>
      </c>
      <c r="P91">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23</v>
      </c>
      <c r="Q91">
        <f>SlotTracker104[[#This Row],[Spell Presence]]-SUMIFS(Table68103[Weight],Table68103[Creature Casting],SlotTracker104[[#This Row],[Creature]])</f>
        <v>23</v>
      </c>
    </row>
    <row r="92" spans="5:17" x14ac:dyDescent="0.35">
      <c r="E92" t="s">
        <v>63</v>
      </c>
      <c r="G92">
        <v>4</v>
      </c>
      <c r="H92">
        <v>3</v>
      </c>
      <c r="I92">
        <v>3</v>
      </c>
      <c r="J92">
        <v>3</v>
      </c>
      <c r="K92">
        <v>3</v>
      </c>
      <c r="L92">
        <v>2</v>
      </c>
      <c r="M92">
        <v>2</v>
      </c>
      <c r="N92">
        <v>1</v>
      </c>
      <c r="O92">
        <v>1</v>
      </c>
      <c r="P92">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23</v>
      </c>
      <c r="Q92">
        <f>SlotTracker104[[#This Row],[Spell Presence]]-SUMIFS(Table68103[Weight],Table68103[Creature Casting],SlotTracker104[[#This Row],[Creature]])</f>
        <v>23</v>
      </c>
    </row>
    <row r="93" spans="5:17" x14ac:dyDescent="0.35">
      <c r="E93" t="s">
        <v>64</v>
      </c>
      <c r="G93">
        <v>8</v>
      </c>
      <c r="H93">
        <v>6</v>
      </c>
      <c r="I93">
        <v>6</v>
      </c>
      <c r="J93">
        <v>6</v>
      </c>
      <c r="K93">
        <v>4</v>
      </c>
      <c r="L93">
        <v>2</v>
      </c>
      <c r="M93">
        <v>2</v>
      </c>
      <c r="N93">
        <v>1</v>
      </c>
      <c r="O93">
        <v>1</v>
      </c>
      <c r="P93">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31</v>
      </c>
      <c r="Q93">
        <f>SlotTracker104[[#This Row],[Spell Presence]]-SUMIFS(Table68103[Weight],Table68103[Creature Casting],SlotTracker104[[#This Row],[Creature]])</f>
        <v>31</v>
      </c>
    </row>
    <row r="94" spans="5:17" x14ac:dyDescent="0.35">
      <c r="E94" t="s">
        <v>676</v>
      </c>
      <c r="G94">
        <v>3</v>
      </c>
      <c r="H94">
        <v>7</v>
      </c>
      <c r="I94">
        <v>0</v>
      </c>
      <c r="J94">
        <v>0</v>
      </c>
      <c r="K94">
        <v>0</v>
      </c>
      <c r="L94">
        <v>0</v>
      </c>
      <c r="M94">
        <v>0</v>
      </c>
      <c r="N94">
        <v>0</v>
      </c>
      <c r="O94">
        <v>0</v>
      </c>
      <c r="P94" s="2">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1.7000000000000002</v>
      </c>
      <c r="Q94" s="2">
        <f>SlotTracker104[[#This Row],[Spell Presence]]-SUMIFS(Table68103[Weight],Table68103[Creature Casting],SlotTracker104[[#This Row],[Creature]])</f>
        <v>1.7000000000000002</v>
      </c>
    </row>
    <row r="95" spans="5:17" x14ac:dyDescent="0.35">
      <c r="E95" t="s">
        <v>677</v>
      </c>
      <c r="G95">
        <v>0</v>
      </c>
      <c r="H95">
        <v>0</v>
      </c>
      <c r="I95">
        <v>0</v>
      </c>
      <c r="J95">
        <v>0</v>
      </c>
      <c r="K95">
        <v>0</v>
      </c>
      <c r="L95">
        <v>0</v>
      </c>
      <c r="M95">
        <v>0</v>
      </c>
      <c r="N95">
        <v>0</v>
      </c>
      <c r="O95">
        <v>0</v>
      </c>
      <c r="P95" s="2">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0</v>
      </c>
      <c r="Q95" s="2">
        <f>SlotTracker104[[#This Row],[Spell Presence]]-SUMIFS(Table68103[Weight],Table68103[Creature Casting],SlotTracker104[[#This Row],[Creature]])</f>
        <v>0</v>
      </c>
    </row>
    <row r="96" spans="5:17" x14ac:dyDescent="0.35">
      <c r="E96" t="s">
        <v>678</v>
      </c>
      <c r="G96">
        <v>0</v>
      </c>
      <c r="H96">
        <v>0</v>
      </c>
      <c r="I96">
        <v>0</v>
      </c>
      <c r="J96">
        <v>0</v>
      </c>
      <c r="K96">
        <v>0</v>
      </c>
      <c r="L96">
        <v>0</v>
      </c>
      <c r="M96">
        <v>0</v>
      </c>
      <c r="N96">
        <v>0</v>
      </c>
      <c r="O96">
        <v>0</v>
      </c>
      <c r="P96" s="2">
        <f>(SlotTracker104[[#This Row],[9th]]*VLOOKUP(SlotTracker104[[#Headers],[9th]],Table67[],2,FALSE))+(SlotTracker104[[#This Row],[8th]]*VLOOKUP(SlotTracker104[[#Headers],[8th]],Table67[],2,FALSE))+(SlotTracker104[[#This Row],[7th]]*VLOOKUP(SlotTracker104[[#Headers],[7th]],Table67[],2,FALSE))+(SlotTracker104[[#This Row],[6th]]*VLOOKUP(SlotTracker104[[#Headers],[6th]],Table67[],2,FALSE))+(SlotTracker104[[#This Row],[5th]]*VLOOKUP(SlotTracker104[[#Headers],[5th]],Table67[],2,FALSE))+(SlotTracker104[[#This Row],[4th]]*VLOOKUP(SlotTracker104[[#Headers],[4th]],Table67[],2,FALSE))+(SlotTracker104[[#This Row],[3rd]]*VLOOKUP(SlotTracker104[[#Headers],[3rd]],Table67[],2,FALSE))+(SlotTracker104[[#This Row],[2nd]]*VLOOKUP(SlotTracker104[[#Headers],[2nd]],Table67[],2,FALSE))+(SlotTracker104[[#This Row],[1st]]*VLOOKUP(SlotTracker104[[#Headers],[1st]],Table67[],2,FALSE))</f>
        <v>0</v>
      </c>
      <c r="Q96" s="2">
        <f>SlotTracker104[[#This Row],[Spell Presence]]-SUMIFS(Table68103[Weight],Table68103[Creature Casting],SlotTracker104[[#This Row],[Creature]])</f>
        <v>0</v>
      </c>
    </row>
    <row r="103" spans="9:9" x14ac:dyDescent="0.35">
      <c r="I103" s="1"/>
    </row>
  </sheetData>
  <conditionalFormatting sqref="D4:D17">
    <cfRule type="dataBar" priority="21">
      <dataBar>
        <cfvo type="min"/>
        <cfvo type="max"/>
        <color rgb="FF638EC6"/>
      </dataBar>
      <extLst>
        <ext xmlns:x14="http://schemas.microsoft.com/office/spreadsheetml/2009/9/main" uri="{B025F937-C7B1-47D3-B67F-A62EFF666E3E}">
          <x14:id>{A24FCD27-4867-4C5F-830E-0777894E3D60}</x14:id>
        </ext>
      </extLst>
    </cfRule>
  </conditionalFormatting>
  <conditionalFormatting sqref="G65:G76">
    <cfRule type="top10" dxfId="37" priority="19" percent="1" rank="5"/>
  </conditionalFormatting>
  <conditionalFormatting sqref="H65:H76">
    <cfRule type="top10" dxfId="36" priority="20" percent="1" rank="5"/>
  </conditionalFormatting>
  <conditionalFormatting sqref="I65:I76">
    <cfRule type="top10" dxfId="35" priority="18" percent="1" rank="15"/>
  </conditionalFormatting>
  <conditionalFormatting sqref="L65:L76">
    <cfRule type="top10" dxfId="34" priority="17" percent="1" rank="5"/>
  </conditionalFormatting>
  <conditionalFormatting sqref="E4:E17">
    <cfRule type="dataBar" priority="16">
      <dataBar>
        <cfvo type="min"/>
        <cfvo type="max"/>
        <color theme="7" tint="0.39997558519241921"/>
      </dataBar>
      <extLst>
        <ext xmlns:x14="http://schemas.microsoft.com/office/spreadsheetml/2009/9/main" uri="{B025F937-C7B1-47D3-B67F-A62EFF666E3E}">
          <x14:id>{6CBFF2D2-3A41-4B8C-B4B8-C128C8899533}</x14:id>
        </ext>
      </extLst>
    </cfRule>
  </conditionalFormatting>
  <conditionalFormatting sqref="L4:L17">
    <cfRule type="containsText" dxfId="33" priority="15" operator="containsText" text="Yes">
      <formula>NOT(ISERROR(SEARCH("Yes",L4)))</formula>
    </cfRule>
  </conditionalFormatting>
  <conditionalFormatting sqref="Q4:Q15">
    <cfRule type="cellIs" dxfId="32" priority="14" operator="lessThan">
      <formula>0</formula>
    </cfRule>
  </conditionalFormatting>
  <conditionalFormatting sqref="C28:C42">
    <cfRule type="cellIs" dxfId="31" priority="6" operator="greaterThan">
      <formula>0.9</formula>
    </cfRule>
    <cfRule type="cellIs" dxfId="30" priority="13" operator="lessThan">
      <formula>0.6</formula>
    </cfRule>
  </conditionalFormatting>
  <conditionalFormatting sqref="C44:C61">
    <cfRule type="cellIs" dxfId="29" priority="3" operator="greaterThan">
      <formula>0.9</formula>
    </cfRule>
    <cfRule type="cellIs" dxfId="28" priority="12" operator="lessThan">
      <formula>0.6</formula>
    </cfRule>
  </conditionalFormatting>
  <conditionalFormatting sqref="E28:E42">
    <cfRule type="cellIs" dxfId="27" priority="5" operator="greaterThan">
      <formula>0.9</formula>
    </cfRule>
    <cfRule type="cellIs" dxfId="26" priority="11" operator="lessThan">
      <formula>0.6</formula>
    </cfRule>
  </conditionalFormatting>
  <conditionalFormatting sqref="H28:H42">
    <cfRule type="cellIs" dxfId="25" priority="4" operator="greaterThan">
      <formula>0.9</formula>
    </cfRule>
    <cfRule type="cellIs" dxfId="24" priority="10" operator="lessThan">
      <formula>0.6</formula>
    </cfRule>
  </conditionalFormatting>
  <conditionalFormatting sqref="E44:E61">
    <cfRule type="cellIs" dxfId="23" priority="2" operator="greaterThan">
      <formula>0.9</formula>
    </cfRule>
    <cfRule type="cellIs" dxfId="22" priority="9" operator="lessThan">
      <formula>0.6</formula>
    </cfRule>
  </conditionalFormatting>
  <conditionalFormatting sqref="H44:H61">
    <cfRule type="cellIs" dxfId="21" priority="1" operator="greaterThan">
      <formula>0.9</formula>
    </cfRule>
    <cfRule type="cellIs" dxfId="20" priority="8" operator="lessThan">
      <formula>0.6</formula>
    </cfRule>
  </conditionalFormatting>
  <dataValidations count="1">
    <dataValidation type="list" allowBlank="1" showInputMessage="1" showErrorMessage="1" sqref="B20 P4:P15" xr:uid="{0BACB7C8-1D39-4E66-B7E8-500ED62BC4B8}">
      <formula1>$A$4:$A$17</formula1>
    </dataValidation>
  </dataValidations>
  <pageMargins left="0.7" right="0.7" top="0.75" bottom="0.75" header="0.3" footer="0.3"/>
  <pageSetup orientation="portrait" r:id="rId1"/>
  <drawing r:id="rId2"/>
  <tableParts count="12">
    <tablePart r:id="rId3"/>
    <tablePart r:id="rId4"/>
    <tablePart r:id="rId5"/>
    <tablePart r:id="rId6"/>
    <tablePart r:id="rId7"/>
    <tablePart r:id="rId8"/>
    <tablePart r:id="rId9"/>
    <tablePart r:id="rId10"/>
    <tablePart r:id="rId11"/>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dataBar" id="{A24FCD27-4867-4C5F-830E-0777894E3D60}">
            <x14:dataBar minLength="0" maxLength="100" gradient="0">
              <x14:cfvo type="autoMin"/>
              <x14:cfvo type="autoMax"/>
              <x14:negativeFillColor rgb="FFFF0000"/>
              <x14:axisColor rgb="FF000000"/>
            </x14:dataBar>
          </x14:cfRule>
          <xm:sqref>D4:D17</xm:sqref>
        </x14:conditionalFormatting>
        <x14:conditionalFormatting xmlns:xm="http://schemas.microsoft.com/office/excel/2006/main">
          <x14:cfRule type="dataBar" id="{6CBFF2D2-3A41-4B8C-B4B8-C128C8899533}">
            <x14:dataBar minLength="0" maxLength="100" gradient="0">
              <x14:cfvo type="autoMin"/>
              <x14:cfvo type="autoMax"/>
              <x14:negativeFillColor rgb="FFFF0000"/>
              <x14:axisColor rgb="FF000000"/>
            </x14:dataBar>
          </x14:cfRule>
          <xm:sqref>E4:E17</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36277915-0879-4DBF-A586-1A0506154151}">
          <x14:formula1>
            <xm:f>'Rules of the Game'!$V$3:$V$44</xm:f>
          </x14:formula1>
          <xm:sqref>B22</xm:sqref>
        </x14:dataValidation>
        <x14:dataValidation type="list" allowBlank="1" showInputMessage="1" showErrorMessage="1" xr:uid="{647D346C-EDCA-4985-8DFC-F6065BD7D32C}">
          <x14:formula1>
            <xm:f>'Rules of the Game'!$D$9:$D$14</xm:f>
          </x14:formula1>
          <xm:sqref>B23</xm:sqref>
        </x14:dataValidation>
        <x14:dataValidation type="list" allowBlank="1" showInputMessage="1" showErrorMessage="1" xr:uid="{3C79F5ED-6D03-49AA-B464-DB0261EB553B}">
          <x14:formula1>
            <xm:f>'Rules of the Game'!$D$1:$D$2</xm:f>
          </x14:formula1>
          <xm:sqref>L4:L17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E05A-9BB5-4EED-A39A-94C5F1263791}">
  <sheetPr codeName="Sheet2"/>
  <dimension ref="A1:Y124"/>
  <sheetViews>
    <sheetView topLeftCell="A39" zoomScale="96" zoomScaleNormal="89" workbookViewId="0">
      <selection activeCell="A16" sqref="A16"/>
    </sheetView>
  </sheetViews>
  <sheetFormatPr defaultRowHeight="14.5" x14ac:dyDescent="0.35"/>
  <cols>
    <col min="1" max="1" width="19.453125" customWidth="1"/>
    <col min="2" max="2" width="25.54296875" bestFit="1" customWidth="1"/>
    <col min="3" max="3" width="17.81640625" bestFit="1" customWidth="1"/>
    <col min="4" max="4" width="15" bestFit="1" customWidth="1"/>
    <col min="5" max="5" width="30.26953125" bestFit="1" customWidth="1"/>
    <col min="6" max="6" width="19.54296875" hidden="1" customWidth="1"/>
    <col min="7" max="7" width="18.1796875" bestFit="1" customWidth="1"/>
    <col min="8" max="8" width="23.81640625" customWidth="1"/>
    <col min="9" max="9" width="17.81640625" customWidth="1"/>
    <col min="10" max="10" width="20.81640625" customWidth="1"/>
    <col min="11" max="11" width="13.1796875" customWidth="1"/>
    <col min="12" max="12" width="22" bestFit="1" customWidth="1"/>
    <col min="13" max="13" width="14.81640625" customWidth="1"/>
    <col min="14" max="15" width="10" bestFit="1" customWidth="1"/>
    <col min="16" max="16" width="19.26953125" bestFit="1" customWidth="1"/>
    <col min="17" max="17" width="22.26953125" bestFit="1" customWidth="1"/>
    <col min="19" max="19" width="18.1796875" bestFit="1" customWidth="1"/>
    <col min="20" max="20" width="12.81640625" bestFit="1" customWidth="1"/>
    <col min="21" max="21" width="10" bestFit="1" customWidth="1"/>
    <col min="23" max="23" width="17.453125" bestFit="1" customWidth="1"/>
    <col min="24" max="24" width="8.26953125" bestFit="1" customWidth="1"/>
    <col min="25" max="25" width="10.81640625" bestFit="1" customWidth="1"/>
  </cols>
  <sheetData>
    <row r="1" spans="1:25" x14ac:dyDescent="0.35">
      <c r="A1" s="1"/>
    </row>
    <row r="2" spans="1:25" ht="15" thickBot="1" x14ac:dyDescent="0.4">
      <c r="A2" s="1" t="s">
        <v>304</v>
      </c>
      <c r="H2" s="1" t="s">
        <v>490</v>
      </c>
      <c r="J2" t="s">
        <v>495</v>
      </c>
      <c r="P2" s="1" t="s">
        <v>301</v>
      </c>
      <c r="S2" s="1" t="s">
        <v>484</v>
      </c>
      <c r="W2" s="1" t="s">
        <v>622</v>
      </c>
      <c r="X2" s="1" t="s">
        <v>603</v>
      </c>
      <c r="Y2" s="49">
        <f>SUM(Table53[XP])/30000</f>
        <v>0</v>
      </c>
    </row>
    <row r="3" spans="1:25" ht="15" thickBot="1" x14ac:dyDescent="0.4">
      <c r="A3" s="1" t="s">
        <v>297</v>
      </c>
      <c r="B3" s="1" t="s">
        <v>308</v>
      </c>
      <c r="C3" s="1" t="s">
        <v>298</v>
      </c>
      <c r="D3" s="1" t="s">
        <v>432</v>
      </c>
      <c r="E3" s="1" t="s">
        <v>433</v>
      </c>
      <c r="F3" s="1" t="s">
        <v>431</v>
      </c>
      <c r="G3" s="1"/>
      <c r="H3" s="29" t="s">
        <v>491</v>
      </c>
      <c r="J3" t="s">
        <v>297</v>
      </c>
      <c r="K3" t="s">
        <v>496</v>
      </c>
      <c r="L3" t="s">
        <v>497</v>
      </c>
      <c r="M3" t="s">
        <v>498</v>
      </c>
      <c r="P3" s="1" t="s">
        <v>302</v>
      </c>
      <c r="Q3" s="1" t="s">
        <v>303</v>
      </c>
      <c r="S3" t="s">
        <v>485</v>
      </c>
      <c r="T3" t="s">
        <v>50</v>
      </c>
      <c r="U3" t="s">
        <v>482</v>
      </c>
      <c r="W3" t="s">
        <v>297</v>
      </c>
      <c r="X3" t="s">
        <v>599</v>
      </c>
      <c r="Y3" t="s">
        <v>600</v>
      </c>
    </row>
    <row r="4" spans="1:25" ht="15.5" thickTop="1" thickBot="1" x14ac:dyDescent="0.4">
      <c r="A4" s="8" t="s">
        <v>242</v>
      </c>
      <c r="B4">
        <f>'Drow Arachnomancer'!$F$17</f>
        <v>18</v>
      </c>
      <c r="C4" s="11">
        <f>'Drow Arachnomancer'!$F$18-SUMIFS(Table45[Damage Dealt],Table45[Creature Affected],CreatureTracker[[#This Row],[Creature]])</f>
        <v>334</v>
      </c>
      <c r="D4" s="21">
        <f>CreatureTracker[[#This Row],[Current Hitpoints]]/CreatureTracker[[#This Row],[Total Hit Points]]</f>
        <v>1</v>
      </c>
      <c r="E4" s="28">
        <f>(VLOOKUP(CreatureTracker[[#This Row],[Creature]],SlotTracker[],MATCH("Current Spell Arsenal",SlotTracker[#Headers],0),FALSE))/(VLOOKUP(CreatureTracker[[#This Row],[Creature]],SlotTracker[],MATCH("Spell Presence",SlotTracker[#Headers],0),FALSE))</f>
        <v>1</v>
      </c>
      <c r="F4" s="11">
        <f>'Drow Arachnomancer'!$F$18</f>
        <v>334</v>
      </c>
      <c r="H4" s="30" t="s">
        <v>492</v>
      </c>
      <c r="J4" t="s">
        <v>242</v>
      </c>
      <c r="K4">
        <f>VLOOKUP(Table8[[#This Row],[Creature]],Table66[],5,FALSE)</f>
        <v>10</v>
      </c>
      <c r="L4" t="s">
        <v>87</v>
      </c>
      <c r="M4" s="37"/>
      <c r="U4" s="10" t="str">
        <f>IF(Table68[[#This Row],[Spell Level]]&lt;&gt;"",VLOOKUP(Table68[[#This Row],[Spell Level]],Table67[],2,FALSE)*1,"")</f>
        <v/>
      </c>
      <c r="X4" s="52" t="str">
        <f>IFERROR(VLOOKUP(Table53[[#This Row],[Creature]],Enemies[],16,FALSE),"")</f>
        <v/>
      </c>
      <c r="Y4" s="52" t="str">
        <f>IFERROR(Table53[[#This Row],[XP]],"")</f>
        <v/>
      </c>
    </row>
    <row r="5" spans="1:25" ht="15.5" thickTop="1" thickBot="1" x14ac:dyDescent="0.4">
      <c r="A5" s="8" t="s">
        <v>54</v>
      </c>
      <c r="B5">
        <f>Archdruid!$F$17</f>
        <v>18</v>
      </c>
      <c r="C5" s="11">
        <f>Archdruid!$F$18-SUMIFS(Table45[Damage Dealt],Table45[Creature Affected],CreatureTracker[[#This Row],[Creature]])</f>
        <v>303.5</v>
      </c>
      <c r="D5" s="21">
        <f>CreatureTracker[[#This Row],[Current Hitpoints]]/CreatureTracker[[#This Row],[Total Hit Points]]</f>
        <v>1</v>
      </c>
      <c r="E5" s="28">
        <f>(VLOOKUP(CreatureTracker[[#This Row],[Creature]],SlotTracker[],MATCH("Current Spell Arsenal",SlotTracker[#Headers],0),FALSE))/(VLOOKUP(CreatureTracker[[#This Row],[Creature]],SlotTracker[],MATCH("Spell Presence",SlotTracker[#Headers],0),FALSE))</f>
        <v>1</v>
      </c>
      <c r="F5" s="11">
        <f>Archdruid!$F$18</f>
        <v>303.5</v>
      </c>
      <c r="H5" s="56" t="s">
        <v>635</v>
      </c>
      <c r="J5" t="s">
        <v>54</v>
      </c>
      <c r="K5">
        <f>VLOOKUP(Table8[[#This Row],[Creature]],Table66[],5,FALSE)</f>
        <v>9</v>
      </c>
      <c r="L5" t="s">
        <v>87</v>
      </c>
      <c r="M5" s="37"/>
      <c r="U5" s="10" t="str">
        <f>IF(Table68[[#This Row],[Spell Level]]&lt;&gt;"",VLOOKUP(Table68[[#This Row],[Spell Level]],Table67[],2,FALSE)*1,"")</f>
        <v/>
      </c>
      <c r="X5" s="52" t="str">
        <f>IFERROR(VLOOKUP(Table53[[#This Row],[Creature]],Enemies[],16,FALSE),"")</f>
        <v/>
      </c>
      <c r="Y5" s="52" t="str">
        <f>IFERROR(Table53[[#This Row],[XP]]+Y4,"")</f>
        <v/>
      </c>
    </row>
    <row r="6" spans="1:25" ht="15.5" thickTop="1" thickBot="1" x14ac:dyDescent="0.4">
      <c r="A6" s="8" t="s">
        <v>55</v>
      </c>
      <c r="B6">
        <f>'Conclave Dryad'!$F$17</f>
        <v>20</v>
      </c>
      <c r="C6" s="11">
        <f>'Conclave Dryad'!$F$18-SUMIFS(Table45[Damage Dealt],Table45[Creature Affected],CreatureTracker[[#This Row],[Creature]])</f>
        <v>314.5</v>
      </c>
      <c r="D6" s="21">
        <f>CreatureTracker[[#This Row],[Current Hitpoints]]/CreatureTracker[[#This Row],[Total Hit Points]]</f>
        <v>1</v>
      </c>
      <c r="E6" s="28">
        <f>(VLOOKUP(CreatureTracker[[#This Row],[Creature]],SlotTracker[],MATCH("Current Spell Arsenal",SlotTracker[#Headers],0),FALSE))/(VLOOKUP(CreatureTracker[[#This Row],[Creature]],SlotTracker[],MATCH("Spell Presence",SlotTracker[#Headers],0),FALSE))</f>
        <v>1</v>
      </c>
      <c r="F6" s="11">
        <f>'Conclave Dryad'!$F$18</f>
        <v>314.5</v>
      </c>
      <c r="H6" s="56"/>
      <c r="J6" t="s">
        <v>55</v>
      </c>
      <c r="K6">
        <f>VLOOKUP(Table8[[#This Row],[Creature]],Table66[],5,FALSE)</f>
        <v>10</v>
      </c>
      <c r="L6" t="s">
        <v>87</v>
      </c>
      <c r="M6" s="37"/>
      <c r="U6" s="10" t="str">
        <f>IF(Table68[[#This Row],[Spell Level]]&lt;&gt;"",VLOOKUP(Table68[[#This Row],[Spell Level]],Table67[],2,FALSE)*1,"")</f>
        <v/>
      </c>
      <c r="X6" s="52" t="str">
        <f>IFERROR(VLOOKUP(Table53[[#This Row],[Creature]],Enemies[],16,FALSE),"")</f>
        <v/>
      </c>
      <c r="Y6" s="52" t="str">
        <f>IFERROR(Table53[[#This Row],[XP]]+Y5,"")</f>
        <v/>
      </c>
    </row>
    <row r="7" spans="1:25" ht="15.5" thickTop="1" thickBot="1" x14ac:dyDescent="0.4">
      <c r="A7" s="8" t="s">
        <v>489</v>
      </c>
      <c r="B7">
        <f>Facade!$F$17</f>
        <v>20</v>
      </c>
      <c r="C7" s="11">
        <f>Facade!$F$18-SUMIFS(Table45[Damage Dealt],Table45[Creature Affected],CreatureTracker[[#This Row],[Creature]])</f>
        <v>171.5</v>
      </c>
      <c r="D7" s="21">
        <f>CreatureTracker[[#This Row],[Current Hitpoints]]/CreatureTracker[[#This Row],[Total Hit Points]]</f>
        <v>1</v>
      </c>
      <c r="E7" s="28">
        <f>(VLOOKUP(CreatureTracker[[#This Row],[Creature]],SlotTracker[],MATCH("Current Spell Arsenal",SlotTracker[#Headers],0),FALSE))/(VLOOKUP(CreatureTracker[[#This Row],[Creature]],SlotTracker[],MATCH("Spell Presence",SlotTracker[#Headers],0),FALSE))</f>
        <v>1</v>
      </c>
      <c r="F7" s="11">
        <f>Facade!$F$18</f>
        <v>171.5</v>
      </c>
      <c r="H7" s="30"/>
      <c r="J7" t="s">
        <v>489</v>
      </c>
      <c r="K7">
        <f>VLOOKUP(Table8[[#This Row],[Creature]],Table66[],5,FALSE)</f>
        <v>10</v>
      </c>
      <c r="L7" t="s">
        <v>87</v>
      </c>
      <c r="M7" s="37"/>
      <c r="U7" s="10" t="str">
        <f>IF(Table68[[#This Row],[Spell Level]]&lt;&gt;"",VLOOKUP(Table68[[#This Row],[Spell Level]],Table67[],2,FALSE)*1,"")</f>
        <v/>
      </c>
      <c r="X7" s="52" t="str">
        <f>IFERROR(VLOOKUP(Table53[[#This Row],[Creature]],Enemies[],16,FALSE),"")</f>
        <v/>
      </c>
      <c r="Y7" s="52" t="str">
        <f>IFERROR(Table53[[#This Row],[XP]]+Y6,"")</f>
        <v/>
      </c>
    </row>
    <row r="8" spans="1:25" ht="15.5" thickTop="1" thickBot="1" x14ac:dyDescent="0.4">
      <c r="A8" s="8" t="s">
        <v>57</v>
      </c>
      <c r="B8">
        <f>'Gallows Speaker'!$F$17</f>
        <v>18</v>
      </c>
      <c r="C8" s="11">
        <f>'Gallows Speaker'!$F$18-SUMIFS(Table45[Damage Dealt],Table45[Creature Affected],CreatureTracker[[#This Row],[Creature]])</f>
        <v>257</v>
      </c>
      <c r="D8" s="21">
        <f>CreatureTracker[[#This Row],[Current Hitpoints]]/CreatureTracker[[#This Row],[Total Hit Points]]</f>
        <v>1</v>
      </c>
      <c r="E8" s="28">
        <f>(VLOOKUP(CreatureTracker[[#This Row],[Creature]],SlotTracker[],MATCH("Current Spell Arsenal",SlotTracker[#Headers],0),FALSE))/(VLOOKUP(CreatureTracker[[#This Row],[Creature]],SlotTracker[],MATCH("Spell Presence",SlotTracker[#Headers],0),FALSE))</f>
        <v>1</v>
      </c>
      <c r="F8" s="11">
        <f>'Gallows Speaker'!$F$18</f>
        <v>257</v>
      </c>
      <c r="H8" s="30"/>
      <c r="J8" t="s">
        <v>57</v>
      </c>
      <c r="K8">
        <f>VLOOKUP(Table8[[#This Row],[Creature]],Table66[],5,FALSE)</f>
        <v>8</v>
      </c>
      <c r="L8" t="s">
        <v>87</v>
      </c>
      <c r="M8" s="37"/>
      <c r="U8" s="10" t="str">
        <f>IF(Table68[[#This Row],[Spell Level]]&lt;&gt;"",VLOOKUP(Table68[[#This Row],[Spell Level]],Table67[],2,FALSE)*1,"")</f>
        <v/>
      </c>
      <c r="X8" s="52" t="str">
        <f>IFERROR(VLOOKUP(Table53[[#This Row],[Creature]],Enemies[],16,FALSE),"")</f>
        <v/>
      </c>
      <c r="Y8" s="52" t="str">
        <f>IFERROR(Table53[[#This Row],[XP]]+Y7,"")</f>
        <v/>
      </c>
    </row>
    <row r="9" spans="1:25" ht="15.5" thickTop="1" thickBot="1" x14ac:dyDescent="0.4">
      <c r="A9" s="8" t="s">
        <v>58</v>
      </c>
      <c r="B9">
        <f>'Ghost (CR 16)'!$F$17</f>
        <v>20</v>
      </c>
      <c r="C9" s="11">
        <f>'Ghost (CR 16)'!$F$18-SUMIFS(Table45[Damage Dealt],Table45[Creature Affected],CreatureTracker[[#This Row],[Creature]])</f>
        <v>305.5</v>
      </c>
      <c r="D9" s="21">
        <f>CreatureTracker[[#This Row],[Current Hitpoints]]/CreatureTracker[[#This Row],[Total Hit Points]]</f>
        <v>1</v>
      </c>
      <c r="E9" s="28">
        <f>(VLOOKUP(CreatureTracker[[#This Row],[Creature]],SlotTracker[],MATCH("Current Spell Arsenal",SlotTracker[#Headers],0),FALSE))/(VLOOKUP(CreatureTracker[[#This Row],[Creature]],SlotTracker[],MATCH("Spell Presence",SlotTracker[#Headers],0),FALSE))</f>
        <v>1</v>
      </c>
      <c r="F9" s="11">
        <f>'Ghost (CR 16)'!$F$18</f>
        <v>305.5</v>
      </c>
      <c r="H9" s="30"/>
      <c r="J9" t="s">
        <v>58</v>
      </c>
      <c r="K9">
        <f>VLOOKUP(Table8[[#This Row],[Creature]],Table66[],5,FALSE)</f>
        <v>8</v>
      </c>
      <c r="L9" t="s">
        <v>87</v>
      </c>
      <c r="M9" s="37"/>
      <c r="U9" s="10" t="str">
        <f>IF(Table68[[#This Row],[Spell Level]]&lt;&gt;"",VLOOKUP(Table68[[#This Row],[Spell Level]],Table67[],2,FALSE)*1,"")</f>
        <v/>
      </c>
      <c r="X9" s="52" t="str">
        <f>IFERROR(VLOOKUP(Table53[[#This Row],[Creature]],Enemies[],16,FALSE),"")</f>
        <v/>
      </c>
      <c r="Y9" s="52" t="str">
        <f>IFERROR(Table53[[#This Row],[XP]]+Y8,"")</f>
        <v/>
      </c>
    </row>
    <row r="10" spans="1:25" ht="15.5" thickTop="1" thickBot="1" x14ac:dyDescent="0.4">
      <c r="A10" s="8" t="s">
        <v>299</v>
      </c>
      <c r="B10">
        <f>Gloomweaver!$F$17</f>
        <v>20</v>
      </c>
      <c r="C10" s="11">
        <f>Gloomweaver!$F$18-SUMIFS(Table45[Damage Dealt],Table45[Creature Affected],CreatureTracker[[#This Row],[Creature]])</f>
        <v>334</v>
      </c>
      <c r="D10" s="21">
        <f>CreatureTracker[[#This Row],[Current Hitpoints]]/CreatureTracker[[#This Row],[Total Hit Points]]</f>
        <v>1</v>
      </c>
      <c r="E10" s="28">
        <f>(VLOOKUP(CreatureTracker[[#This Row],[Creature]],SlotTracker[],MATCH("Current Spell Arsenal",SlotTracker[#Headers],0),FALSE))/(VLOOKUP(CreatureTracker[[#This Row],[Creature]],SlotTracker[],MATCH("Spell Presence",SlotTracker[#Headers],0),FALSE))</f>
        <v>1</v>
      </c>
      <c r="F10" s="11">
        <f>Gloomweaver!$F$18</f>
        <v>334</v>
      </c>
      <c r="H10" s="30"/>
      <c r="J10" t="s">
        <v>299</v>
      </c>
      <c r="K10">
        <f>VLOOKUP(Table8[[#This Row],[Creature]],Table66[],5,FALSE)</f>
        <v>10</v>
      </c>
      <c r="L10" t="s">
        <v>87</v>
      </c>
      <c r="M10" s="37"/>
      <c r="U10" s="10" t="str">
        <f>IF(Table68[[#This Row],[Spell Level]]&lt;&gt;"",VLOOKUP(Table68[[#This Row],[Spell Level]],Table67[],2,FALSE)*1,"")</f>
        <v/>
      </c>
      <c r="X10" s="52" t="str">
        <f>IFERROR(VLOOKUP(Table53[[#This Row],[Creature]],Enemies[],16,FALSE),"")</f>
        <v/>
      </c>
      <c r="Y10" s="52" t="str">
        <f>IFERROR(Table53[[#This Row],[XP]]+Y9,"")</f>
        <v/>
      </c>
    </row>
    <row r="11" spans="1:25" ht="15.5" thickTop="1" thickBot="1" x14ac:dyDescent="0.4">
      <c r="A11" s="8" t="s">
        <v>344</v>
      </c>
      <c r="B11">
        <f>Facade!$F$17</f>
        <v>20</v>
      </c>
      <c r="C11" s="11">
        <f>Facade!$F$18/2</f>
        <v>85.75</v>
      </c>
      <c r="D11" s="21">
        <f>CreatureTracker[[#This Row],[Current Hitpoints]]/CreatureTracker[[#This Row],[Total Hit Points]]</f>
        <v>1</v>
      </c>
      <c r="E11" s="28">
        <f>(VLOOKUP(CreatureTracker[[#This Row],[Creature]],SlotTracker[],MATCH("Current Spell Arsenal",SlotTracker[#Headers],0),FALSE))/(VLOOKUP(CreatureTracker[[#This Row],[Creature]],SlotTracker[],MATCH("Spell Presence",SlotTracker[#Headers],0),FALSE))</f>
        <v>1</v>
      </c>
      <c r="F11" s="11">
        <f>Facade!$F$18/2</f>
        <v>85.75</v>
      </c>
      <c r="H11" s="30"/>
      <c r="J11" t="s">
        <v>344</v>
      </c>
      <c r="K11">
        <f>VLOOKUP(J7,Table66[],5,FALSE)</f>
        <v>10</v>
      </c>
      <c r="L11" t="s">
        <v>87</v>
      </c>
      <c r="M11" s="37"/>
      <c r="U11" s="10" t="str">
        <f>IF(Table68[[#This Row],[Spell Level]]&lt;&gt;"",VLOOKUP(Table68[[#This Row],[Spell Level]],Table67[],2,FALSE)*1,"")</f>
        <v/>
      </c>
      <c r="X11" s="52" t="str">
        <f>IFERROR(VLOOKUP(Table53[[#This Row],[Creature]],Enemies[],16,FALSE),"")</f>
        <v/>
      </c>
      <c r="Y11" s="52" t="str">
        <f>IFERROR(Table53[[#This Row],[XP]]+Y10,"")</f>
        <v/>
      </c>
    </row>
    <row r="12" spans="1:25" ht="15.5" thickTop="1" thickBot="1" x14ac:dyDescent="0.4">
      <c r="A12" s="8" t="s">
        <v>60</v>
      </c>
      <c r="B12">
        <f>'Ki-rin'!$F$17</f>
        <v>20</v>
      </c>
      <c r="C12" s="11">
        <f>'Ki-rin'!$F$18-SUMIFS(Table45[Damage Dealt],Table45[Creature Affected],CreatureTracker[[#This Row],[Creature]])</f>
        <v>352.5</v>
      </c>
      <c r="D12" s="21">
        <f>CreatureTracker[[#This Row],[Current Hitpoints]]/CreatureTracker[[#This Row],[Total Hit Points]]</f>
        <v>1</v>
      </c>
      <c r="E12" s="28">
        <f>(VLOOKUP(CreatureTracker[[#This Row],[Creature]],SlotTracker[],MATCH("Current Spell Arsenal",SlotTracker[#Headers],0),FALSE))/(VLOOKUP(CreatureTracker[[#This Row],[Creature]],SlotTracker[],MATCH("Spell Presence",SlotTracker[#Headers],0),FALSE))</f>
        <v>1</v>
      </c>
      <c r="F12" s="11">
        <f>'Ki-rin'!$F$18</f>
        <v>352.5</v>
      </c>
      <c r="H12" s="30"/>
      <c r="J12" t="s">
        <v>60</v>
      </c>
      <c r="K12">
        <f>VLOOKUP(Table8[[#This Row],[Creature]],Table66[],5,FALSE)</f>
        <v>11</v>
      </c>
      <c r="L12" t="s">
        <v>87</v>
      </c>
      <c r="M12" s="37"/>
      <c r="U12" s="10" t="str">
        <f>IF(Table68[[#This Row],[Spell Level]]&lt;&gt;"",VLOOKUP(Table68[[#This Row],[Spell Level]],Table67[],2,FALSE)*1,"")</f>
        <v/>
      </c>
      <c r="X12" s="52" t="str">
        <f>IFERROR(VLOOKUP(Table53[[#This Row],[Creature]],Enemies[],16,FALSE),"")</f>
        <v/>
      </c>
      <c r="Y12" s="52" t="str">
        <f>IFERROR(Table53[[#This Row],[XP]]+Y11,"")</f>
        <v/>
      </c>
    </row>
    <row r="13" spans="1:25" ht="15.5" thickTop="1" thickBot="1" x14ac:dyDescent="0.4">
      <c r="A13" s="8" t="s">
        <v>61</v>
      </c>
      <c r="B13">
        <f>Neothelid!$F$17</f>
        <v>25</v>
      </c>
      <c r="C13" s="11">
        <f>Neothelid!$F$18-SUMIFS(Table45[Damage Dealt],Table45[Creature Affected],CreatureTracker[[#This Row],[Creature]])</f>
        <v>491</v>
      </c>
      <c r="D13" s="21">
        <f>CreatureTracker[[#This Row],[Current Hitpoints]]/CreatureTracker[[#This Row],[Total Hit Points]]</f>
        <v>1</v>
      </c>
      <c r="E13" s="28">
        <f>(VLOOKUP(CreatureTracker[[#This Row],[Creature]],SlotTracker[],MATCH("Current Spell Arsenal",SlotTracker[#Headers],0),FALSE))/(VLOOKUP(CreatureTracker[[#This Row],[Creature]],SlotTracker[],MATCH("Spell Presence",SlotTracker[#Headers],0),FALSE))</f>
        <v>1</v>
      </c>
      <c r="F13" s="11">
        <f>Neothelid!$F$18</f>
        <v>491</v>
      </c>
      <c r="H13" s="30"/>
      <c r="J13" t="s">
        <v>61</v>
      </c>
      <c r="K13">
        <f>VLOOKUP(Table8[[#This Row],[Creature]],Table66[],5,FALSE)</f>
        <v>13</v>
      </c>
      <c r="L13" t="s">
        <v>87</v>
      </c>
      <c r="M13" s="37"/>
      <c r="U13" s="10" t="str">
        <f>IF(Table68[[#This Row],[Spell Level]]&lt;&gt;"",VLOOKUP(Table68[[#This Row],[Spell Level]],Table67[],2,FALSE)*1,"")</f>
        <v/>
      </c>
      <c r="X13" s="52" t="str">
        <f>IFERROR(VLOOKUP(Table53[[#This Row],[Creature]],Enemies[],16,FALSE),"")</f>
        <v/>
      </c>
      <c r="Y13" s="52" t="str">
        <f>IFERROR(Table53[[#This Row],[XP]]+Y12,"")</f>
        <v/>
      </c>
    </row>
    <row r="14" spans="1:25" ht="15.5" thickTop="1" thickBot="1" x14ac:dyDescent="0.4">
      <c r="A14" s="8" t="s">
        <v>300</v>
      </c>
      <c r="B14">
        <f>'Oni Nothic'!$F$17</f>
        <v>21</v>
      </c>
      <c r="C14" s="11">
        <f>'Oni Nothic'!$F$18-SUMIFS(Table45[Damage Dealt],Table45[Creature Affected],CreatureTracker[[#This Row],[Creature]])</f>
        <v>356</v>
      </c>
      <c r="D14" s="21">
        <f>CreatureTracker[[#This Row],[Current Hitpoints]]/CreatureTracker[[#This Row],[Total Hit Points]]</f>
        <v>1</v>
      </c>
      <c r="E14" s="28">
        <f>(VLOOKUP(CreatureTracker[[#This Row],[Creature]],SlotTracker[],MATCH("Current Spell Arsenal",SlotTracker[#Headers],0),FALSE))/(VLOOKUP(CreatureTracker[[#This Row],[Creature]],SlotTracker[],MATCH("Spell Presence",SlotTracker[#Headers],0),FALSE))</f>
        <v>1</v>
      </c>
      <c r="F14" s="11">
        <f>'Oni Nothic'!$F$18</f>
        <v>356</v>
      </c>
      <c r="H14" s="30"/>
      <c r="J14" t="s">
        <v>300</v>
      </c>
      <c r="K14">
        <f>VLOOKUP(Table8[[#This Row],[Creature]],Table66[],5,FALSE)</f>
        <v>11</v>
      </c>
      <c r="L14" t="s">
        <v>87</v>
      </c>
      <c r="M14" s="37"/>
      <c r="U14" s="10" t="str">
        <f>IF(Table68[[#This Row],[Spell Level]]&lt;&gt;"",VLOOKUP(Table68[[#This Row],[Spell Level]],Table67[],2,FALSE)*1,"")</f>
        <v/>
      </c>
      <c r="X14" s="52" t="str">
        <f>IFERROR(VLOOKUP(Table53[[#This Row],[Creature]],Enemies[],16,FALSE),"")</f>
        <v/>
      </c>
      <c r="Y14" s="52" t="str">
        <f>IFERROR(Table53[[#This Row],[XP]]+Y13,"")</f>
        <v/>
      </c>
    </row>
    <row r="15" spans="1:25" ht="15.5" thickTop="1" thickBot="1" x14ac:dyDescent="0.4">
      <c r="A15" s="8" t="s">
        <v>486</v>
      </c>
      <c r="B15">
        <f>Facade!$F$17</f>
        <v>20</v>
      </c>
      <c r="C15" s="11">
        <f>(Facade!$F$18/2)-SUMIFS(Table45[Damage Dealt],Table45[Creature Affected],CreatureTracker[[#This Row],[Creature]])</f>
        <v>85.75</v>
      </c>
      <c r="D15" s="21">
        <f>CreatureTracker[[#This Row],[Current Hitpoints]]/CreatureTracker[[#This Row],[Total Hit Points]]</f>
        <v>1</v>
      </c>
      <c r="E15" s="28">
        <f>(VLOOKUP(CreatureTracker[[#This Row],[Creature]],SlotTracker[],MATCH("Current Spell Arsenal",SlotTracker[#Headers],0),FALSE))/(VLOOKUP(CreatureTracker[[#This Row],[Creature]],SlotTracker[],MATCH("Spell Presence",SlotTracker[#Headers],0),FALSE))</f>
        <v>1</v>
      </c>
      <c r="F15" s="11">
        <f>(Facade!$F$18/2)</f>
        <v>85.75</v>
      </c>
      <c r="H15" s="30"/>
      <c r="J15" t="s">
        <v>486</v>
      </c>
      <c r="K15">
        <f>VLOOKUP(J7,Table66[],5,FALSE)</f>
        <v>10</v>
      </c>
      <c r="L15" t="s">
        <v>87</v>
      </c>
      <c r="M15" s="37"/>
      <c r="U15" s="10" t="str">
        <f>IF(Table68[[#This Row],[Spell Level]]&lt;&gt;"",VLOOKUP(Table68[[#This Row],[Spell Level]],Table67[],2,FALSE)*1,"")</f>
        <v/>
      </c>
      <c r="X15" s="52" t="str">
        <f>IFERROR(VLOOKUP(Table53[[#This Row],[Creature]],Enemies[],16,FALSE),"")</f>
        <v/>
      </c>
      <c r="Y15" s="52" t="str">
        <f>IFERROR(Table53[[#This Row],[XP]]+Y14,"")</f>
        <v/>
      </c>
    </row>
    <row r="16" spans="1:25" ht="15.5" thickTop="1" thickBot="1" x14ac:dyDescent="0.4">
      <c r="A16" s="8" t="s">
        <v>63</v>
      </c>
      <c r="B16">
        <f>Rakshasa!$F$17</f>
        <v>21</v>
      </c>
      <c r="C16" s="11">
        <f>Rakshasa!$F$18-SUMIFS(Table45[Damage Dealt],Table45[Creature Affected],CreatureTracker[[#This Row],[Creature]])</f>
        <v>340</v>
      </c>
      <c r="D16" s="21">
        <f>CreatureTracker[[#This Row],[Current Hitpoints]]/CreatureTracker[[#This Row],[Total Hit Points]]</f>
        <v>1</v>
      </c>
      <c r="E16" s="28">
        <f>(VLOOKUP(CreatureTracker[[#This Row],[Creature]],SlotTracker[],MATCH("Current Spell Arsenal",SlotTracker[#Headers],0),FALSE))/(VLOOKUP(CreatureTracker[[#This Row],[Creature]],SlotTracker[],MATCH("Spell Presence",SlotTracker[#Headers],0),FALSE))</f>
        <v>1</v>
      </c>
      <c r="F16" s="11">
        <f>Rakshasa!$F$18</f>
        <v>340</v>
      </c>
      <c r="H16" s="30"/>
      <c r="J16" t="s">
        <v>63</v>
      </c>
      <c r="K16">
        <f>VLOOKUP(Table8[[#This Row],[Creature]],Table66[],5,FALSE)</f>
        <v>12</v>
      </c>
      <c r="L16" t="s">
        <v>87</v>
      </c>
      <c r="M16" s="37"/>
      <c r="X16" s="52" t="str">
        <f>IFERROR(VLOOKUP(Table53[[#This Row],[Creature]],Enemies[],16,FALSE),"")</f>
        <v/>
      </c>
      <c r="Y16" s="52" t="str">
        <f>Table53[[#This Row],[XP]]</f>
        <v/>
      </c>
    </row>
    <row r="17" spans="1:13" ht="15.5" thickTop="1" thickBot="1" x14ac:dyDescent="0.4">
      <c r="A17" s="8" t="s">
        <v>64</v>
      </c>
      <c r="B17">
        <f>'Vampire Spectator'!$F$17</f>
        <v>21</v>
      </c>
      <c r="C17" s="11">
        <f>'Vampire Spectator'!$F$18-SUMIFS(Table45[Damage Dealt],Table45[Creature Affected],CreatureTracker[[#This Row],[Creature]])</f>
        <v>425</v>
      </c>
      <c r="D17" s="21">
        <f>CreatureTracker[[#This Row],[Current Hitpoints]]/CreatureTracker[[#This Row],[Total Hit Points]]</f>
        <v>1</v>
      </c>
      <c r="E17" s="28">
        <f>(VLOOKUP(CreatureTracker[[#This Row],[Creature]],SlotTracker[],MATCH("Current Spell Arsenal",SlotTracker[#Headers],0),FALSE))/(VLOOKUP(CreatureTracker[[#This Row],[Creature]],SlotTracker[],MATCH("Spell Presence",SlotTracker[#Headers],0),FALSE))</f>
        <v>1</v>
      </c>
      <c r="F17" s="11">
        <f>'Vampire Spectator'!$F$18</f>
        <v>425</v>
      </c>
      <c r="H17" s="31"/>
      <c r="J17" t="s">
        <v>64</v>
      </c>
      <c r="K17">
        <f>VLOOKUP(Table8[[#This Row],[Creature]],Table66[],5,FALSE)</f>
        <v>12</v>
      </c>
      <c r="L17" t="s">
        <v>87</v>
      </c>
      <c r="M17" s="37"/>
    </row>
    <row r="18" spans="1:13" x14ac:dyDescent="0.35">
      <c r="C18" s="11">
        <f>SUM(CreatureTracker[Current Hitpoints])</f>
        <v>4156</v>
      </c>
    </row>
    <row r="20" spans="1:13" x14ac:dyDescent="0.35">
      <c r="A20" s="1" t="s">
        <v>494</v>
      </c>
      <c r="B20" s="9" t="s">
        <v>489</v>
      </c>
      <c r="C20" s="34" t="str">
        <f>CONCATENATE("+",IF(VLOOKUP($B$20,AllyCreatures[],2,FALSE)&gt;VLOOKUP($B$20,AllyCreatures[],3,FALSE),VLOOKUP(VLOOKUP($B$20,AllyCreatures[],2,FALSE),Modifier[],2,FALSE)+VLOOKUP(30,Proficiency[],2,FALSE),VLOOKUP(VLOOKUP($B$20,AllyCreatures[],3,FALSE),Modifier[],2,FALSE)+VLOOKUP(30,Proficiency[],2,FALSE)))</f>
        <v>+13</v>
      </c>
      <c r="D20" s="35">
        <f>Facade!$F$19</f>
        <v>21</v>
      </c>
    </row>
    <row r="21" spans="1:13" x14ac:dyDescent="0.35">
      <c r="A21" s="1"/>
    </row>
    <row r="22" spans="1:13" x14ac:dyDescent="0.35">
      <c r="A22" s="1" t="s">
        <v>493</v>
      </c>
      <c r="B22" s="9" t="s">
        <v>398</v>
      </c>
      <c r="C22" s="34" t="str">
        <f>CONCATENATE("AC: ",VLOOKUP($B$22,Enemies[[Creature ]:[AC]],3,FALSE))</f>
        <v>AC: 15</v>
      </c>
    </row>
    <row r="23" spans="1:13" x14ac:dyDescent="0.35">
      <c r="A23" s="1" t="s">
        <v>500</v>
      </c>
      <c r="B23" s="9" t="s">
        <v>411</v>
      </c>
      <c r="C23" s="10">
        <f>VLOOKUP($B$22,Enemies[],VLOOKUP('Facade Dashboard'!B23,Table65[],2,FALSE),FALSE)</f>
        <v>6</v>
      </c>
    </row>
    <row r="24" spans="1:13" x14ac:dyDescent="0.35">
      <c r="B24" s="36" t="s">
        <v>424</v>
      </c>
      <c r="C24" s="36" t="s">
        <v>426</v>
      </c>
      <c r="D24" s="36" t="s">
        <v>425</v>
      </c>
      <c r="E24" s="36" t="s">
        <v>511</v>
      </c>
    </row>
    <row r="25" spans="1:13" x14ac:dyDescent="0.35">
      <c r="A25" s="1" t="s">
        <v>510</v>
      </c>
      <c r="B25" s="51">
        <f>IFERROR(VLOOKUP($D$20-$C$23,'Rules of the Game'!$G$88:$T$107,4,FALSE),1)</f>
        <v>0.75000000000000011</v>
      </c>
      <c r="C25" s="51">
        <f>IFERROR(VLOOKUP($D$20-$C$23,'Rules of the Game'!$G$88:$T$107,10,FALSE),1)</f>
        <v>0.93750000000000011</v>
      </c>
      <c r="D25" s="51">
        <f>IFERROR(VLOOKUP($D$20-$C$23,'Rules of the Game'!$G$88:$T$107,7,FALSE),1)</f>
        <v>0.56249999999999978</v>
      </c>
      <c r="E25" s="51">
        <f>IFERROR(VLOOKUP(2.5+2.5+$D$20-$C$23,'Rules of the Game'!$G$88:$T$107,4,FALSE),1)</f>
        <v>0.95</v>
      </c>
    </row>
    <row r="27" spans="1:13" x14ac:dyDescent="0.35">
      <c r="A27" s="14" t="s">
        <v>546</v>
      </c>
      <c r="B27" s="14" t="s">
        <v>513</v>
      </c>
      <c r="C27" s="14" t="s">
        <v>417</v>
      </c>
      <c r="D27" s="1" t="s">
        <v>502</v>
      </c>
      <c r="E27" s="1" t="s">
        <v>418</v>
      </c>
      <c r="F27" s="1" t="s">
        <v>503</v>
      </c>
      <c r="G27" s="1" t="s">
        <v>420</v>
      </c>
      <c r="H27" s="1" t="s">
        <v>422</v>
      </c>
      <c r="I27" s="1" t="s">
        <v>504</v>
      </c>
    </row>
    <row r="28" spans="1:13" x14ac:dyDescent="0.35">
      <c r="A28" s="44">
        <v>1</v>
      </c>
      <c r="B28" s="42" t="str">
        <f>IFERROR(IF(VLOOKUP(CONCATENATE($B$20,Table69[[#This Row],[Number]]),Table70[[Move Number]:[Attack Roll or Save]],3,FALSE)="Saving Throw"," ",VLOOKUP(CONCATENATE($B$20,Table69[[#This Row],[Number]]),Table70[[Move Number]:[Move Name]],2,FALSE))," ")</f>
        <v>Shocking Grasp</v>
      </c>
      <c r="C28" s="23">
        <f>IFERROR(VLOOKUP(RIGHT($C$22,2)-VLOOKUP(Table69[[#This Row],[Move Name]],Table70[[Move Name]:[Bonus to Hit]],4,FALSE),Probability[],3,FALSE),"")</f>
        <v>0.95000000000000029</v>
      </c>
      <c r="D28" s="49">
        <f>IFERROR((VLOOKUP(Table69[[#This Row],[Move Name]],Table70[[Move Name]:[Average Damage]],14,FALSE)*Table69[[#This Row],[% to Hit]])+(0.05*VLOOKUP(Table69[[#This Row],[Move Name]],Table70[[Move Name]:[Average Damage]],14,FALSE)*2)," ")</f>
        <v>16.800000000000004</v>
      </c>
      <c r="E28" s="23">
        <f>IFERROR(VLOOKUP(RIGHT($C$22,2)-VLOOKUP(Table69[[#This Row],[Move Name]],Table70[[Move Name]:[Bonus to Hit]],4,FALSE),Probability[],6,FALSE),"")</f>
        <v>0.99749999999999972</v>
      </c>
      <c r="G28" s="49">
        <f>IFERROR((VLOOKUP(Table69[[#This Row],[Move Name]],Table70[[Move Name]:[Average Damage]],14,FALSE)*Table69[[#This Row],[% ADV]])+(0.05*VLOOKUP(Table69[[#This Row],[Move Name]],Table70[[Move Name]:[Average Damage]],14,FALSE)*2)," ")</f>
        <v>17.559999999999995</v>
      </c>
      <c r="H28" s="23">
        <f>IFERROR(VLOOKUP(RIGHT($C$22,2)-VLOOKUP(Table69[[#This Row],[Move Name]],Table70[[Move Name]:[Bonus to Hit]],4,FALSE),Probability[],9,FALSE),"")</f>
        <v>0.90250000000000008</v>
      </c>
      <c r="I28" s="49">
        <f>IFERROR((VLOOKUP(Table69[[#This Row],[Move Name]],Table70[[Move Name]:[Average Damage]],14,FALSE)*Table69[[#This Row],[% DIS]])+(0.05*VLOOKUP(Table69[[#This Row],[Move Name]],Table70[[Move Name]:[Average Damage]],14,FALSE)*2)," ")</f>
        <v>16.040000000000003</v>
      </c>
    </row>
    <row r="29" spans="1:13" x14ac:dyDescent="0.35">
      <c r="A29" s="45">
        <v>2</v>
      </c>
      <c r="B29" t="str">
        <f>IFERROR(IF(VLOOKUP(CONCATENATE($B$20,Table69[[#This Row],[Number]]),Table70[[Move Number]:[Attack Roll or Save]],3,FALSE)="Saving Throw"," ",VLOOKUP(CONCATENATE($B$20,Table69[[#This Row],[Number]]),Table70[[Move Number]:[Move Name]],2,FALSE))," ")</f>
        <v>Ray of Frost</v>
      </c>
      <c r="C29" s="23">
        <f>IFERROR(VLOOKUP(RIGHT($C$22,2)-VLOOKUP(Table69[[#This Row],[Move Name]],Table70[[Move Name]:[Bonus to Hit]],4,FALSE),Probability[],3,FALSE),"")</f>
        <v>0.95000000000000029</v>
      </c>
      <c r="D29" s="49">
        <f>IFERROR((VLOOKUP(Table69[[#This Row],[Move Name]],Table70[[Move Name]:[Average Damage]],14,FALSE)*Table69[[#This Row],[% to Hit]])+(0.05*VLOOKUP(Table69[[#This Row],[Move Name]],Table70[[Move Name]:[Average Damage]],14,FALSE)*2)," ")</f>
        <v>16.800000000000004</v>
      </c>
      <c r="E29" s="23">
        <f>IFERROR(VLOOKUP(RIGHT($C$22,2)-VLOOKUP(Table69[[#This Row],[Move Name]],Table70[[Move Name]:[Bonus to Hit]],4,FALSE),Probability[],6,FALSE),"")</f>
        <v>0.99749999999999972</v>
      </c>
      <c r="G29" s="49">
        <f>IFERROR((VLOOKUP(Table69[[#This Row],[Move Name]],Table70[[Move Name]:[Average Damage]],14,FALSE)*Table69[[#This Row],[% ADV]])+(0.05*VLOOKUP(Table69[[#This Row],[Move Name]],Table70[[Move Name]:[Average Damage]],14,FALSE)*2)," ")</f>
        <v>17.559999999999995</v>
      </c>
      <c r="H29" s="47">
        <f>IFERROR(VLOOKUP(RIGHT($C$22,2)-VLOOKUP(Table69[[#This Row],[Move Name]],Table70[[Move Name]:[Bonus to Hit]],4,FALSE),Probability[],9,FALSE),"")</f>
        <v>0.90250000000000008</v>
      </c>
      <c r="I29" s="49">
        <f>IFERROR((VLOOKUP(Table69[[#This Row],[Move Name]],Table70[[Move Name]:[Average Damage]],14,FALSE)*Table69[[#This Row],[% DIS]])+(0.05*VLOOKUP(Table69[[#This Row],[Move Name]],Table70[[Move Name]:[Average Damage]],14,FALSE)*2)," ")</f>
        <v>16.040000000000003</v>
      </c>
    </row>
    <row r="30" spans="1:13" x14ac:dyDescent="0.35">
      <c r="A30" s="45">
        <v>3</v>
      </c>
      <c r="B30" t="str">
        <f>IFERROR(IF(VLOOKUP(CONCATENATE($B$20,Table69[[#This Row],[Number]]),Table70[[Move Number]:[Attack Roll or Save]],3,FALSE)="Saving Throw"," ",VLOOKUP(CONCATENATE($B$20,Table69[[#This Row],[Number]]),Table70[[Move Number]:[Move Name]],2,FALSE))," ")</f>
        <v>Firebolt</v>
      </c>
      <c r="C30" s="23">
        <f>IFERROR(VLOOKUP(RIGHT($C$22,2)-VLOOKUP(Table69[[#This Row],[Move Name]],Table70[[Move Name]:[Bonus to Hit]],4,FALSE),Probability[],3,FALSE),"")</f>
        <v>0.95000000000000029</v>
      </c>
      <c r="D30" s="49">
        <f>IFERROR((VLOOKUP(Table69[[#This Row],[Move Name]],Table70[[Move Name]:[Average Damage]],14,FALSE)*Table69[[#This Row],[% to Hit]])+(0.05*VLOOKUP(Table69[[#This Row],[Move Name]],Table70[[Move Name]:[Average Damage]],14,FALSE)*2)," ")</f>
        <v>21.000000000000007</v>
      </c>
      <c r="E30" s="23">
        <f>IFERROR(VLOOKUP(RIGHT($C$22,2)-VLOOKUP(Table69[[#This Row],[Move Name]],Table70[[Move Name]:[Bonus to Hit]],4,FALSE),Probability[],6,FALSE),"")</f>
        <v>0.99749999999999972</v>
      </c>
      <c r="G30" s="49">
        <f>IFERROR((VLOOKUP(Table69[[#This Row],[Move Name]],Table70[[Move Name]:[Average Damage]],14,FALSE)*Table69[[#This Row],[% ADV]])+(0.05*VLOOKUP(Table69[[#This Row],[Move Name]],Table70[[Move Name]:[Average Damage]],14,FALSE)*2)," ")</f>
        <v>21.949999999999996</v>
      </c>
      <c r="H30" s="47">
        <f>IFERROR(VLOOKUP(RIGHT($C$22,2)-VLOOKUP(Table69[[#This Row],[Move Name]],Table70[[Move Name]:[Bonus to Hit]],4,FALSE),Probability[],9,FALSE),"")</f>
        <v>0.90250000000000008</v>
      </c>
      <c r="I30" s="49">
        <f>IFERROR((VLOOKUP(Table69[[#This Row],[Move Name]],Table70[[Move Name]:[Average Damage]],14,FALSE)*Table69[[#This Row],[% DIS]])+(0.05*VLOOKUP(Table69[[#This Row],[Move Name]],Table70[[Move Name]:[Average Damage]],14,FALSE)*2)," ")</f>
        <v>20.05</v>
      </c>
    </row>
    <row r="31" spans="1:13" x14ac:dyDescent="0.35">
      <c r="A31" s="45">
        <v>4</v>
      </c>
      <c r="B31" t="str">
        <f>IFERROR(IF(VLOOKUP(CONCATENATE($B$20,Table69[[#This Row],[Number]]),Table70[[Move Number]:[Attack Roll or Save]],3,FALSE)="Saving Throw"," ",VLOOKUP(CONCATENATE($B$20,Table69[[#This Row],[Number]]),Table70[[Move Number]:[Move Name]],2,FALSE))," ")</f>
        <v>Card</v>
      </c>
      <c r="C31" s="23">
        <f>IFERROR(VLOOKUP(RIGHT($C$22,2)-VLOOKUP(Table69[[#This Row],[Move Name]],Table70[[Move Name]:[Bonus to Hit]],4,FALSE),Probability[],3,FALSE),"")</f>
        <v>0.95000000000000029</v>
      </c>
      <c r="D31" s="49">
        <f>IFERROR((VLOOKUP(Table69[[#This Row],[Move Name]],Table70[[Move Name]:[Average Damage]],14,FALSE)*Table69[[#This Row],[% to Hit]])+(0.05*VLOOKUP(Table69[[#This Row],[Move Name]],Table70[[Move Name]:[Average Damage]],14,FALSE)*2)," ")</f>
        <v>7.3500000000000023</v>
      </c>
      <c r="E31" s="23">
        <f>IFERROR(VLOOKUP(RIGHT($C$22,2)-VLOOKUP(Table69[[#This Row],[Move Name]],Table70[[Move Name]:[Bonus to Hit]],4,FALSE),Probability[],6,FALSE),"")</f>
        <v>0.99749999999999972</v>
      </c>
      <c r="G31" s="49">
        <f>IFERROR((VLOOKUP(Table69[[#This Row],[Move Name]],Table70[[Move Name]:[Average Damage]],14,FALSE)*Table69[[#This Row],[% ADV]])+(0.05*VLOOKUP(Table69[[#This Row],[Move Name]],Table70[[Move Name]:[Average Damage]],14,FALSE)*2)," ")</f>
        <v>7.6824999999999983</v>
      </c>
      <c r="H31" s="47">
        <f>IFERROR(VLOOKUP(RIGHT($C$22,2)-VLOOKUP(Table69[[#This Row],[Move Name]],Table70[[Move Name]:[Bonus to Hit]],4,FALSE),Probability[],9,FALSE),"")</f>
        <v>0.90250000000000008</v>
      </c>
      <c r="I31" s="49">
        <f>IFERROR((VLOOKUP(Table69[[#This Row],[Move Name]],Table70[[Move Name]:[Average Damage]],14,FALSE)*Table69[[#This Row],[% DIS]])+(0.05*VLOOKUP(Table69[[#This Row],[Move Name]],Table70[[Move Name]:[Average Damage]],14,FALSE)*2)," ")</f>
        <v>7.017500000000001</v>
      </c>
    </row>
    <row r="32" spans="1:13" x14ac:dyDescent="0.35">
      <c r="A32" s="45">
        <v>5</v>
      </c>
      <c r="B32" t="str">
        <f>IFERROR(IF(VLOOKUP(CONCATENATE($B$20,Table69[[#This Row],[Number]]),Table70[[Move Number]:[Attack Roll or Save]],3,FALSE)="Saving Throw"," ",VLOOKUP(CONCATENATE($B$20,Table69[[#This Row],[Number]]),Table70[[Move Number]:[Move Name]],2,FALSE))," ")</f>
        <v>Rapier</v>
      </c>
      <c r="C32" s="23">
        <f>IFERROR(VLOOKUP(RIGHT($C$22,2)-VLOOKUP(Table69[[#This Row],[Move Name]],Table70[[Move Name]:[Bonus to Hit]],4,FALSE),Probability[],3,FALSE),"")</f>
        <v>0.95000000000000029</v>
      </c>
      <c r="D32" s="49">
        <f>IFERROR((VLOOKUP(Table69[[#This Row],[Move Name]],Table70[[Move Name]:[Average Damage]],14,FALSE)*Table69[[#This Row],[% to Hit]])+(0.05*VLOOKUP(Table69[[#This Row],[Move Name]],Table70[[Move Name]:[Average Damage]],14,FALSE)*2)," ")</f>
        <v>9.4500000000000028</v>
      </c>
      <c r="E32" s="23">
        <f>IFERROR(VLOOKUP(RIGHT($C$22,2)-VLOOKUP(Table69[[#This Row],[Move Name]],Table70[[Move Name]:[Bonus to Hit]],4,FALSE),Probability[],6,FALSE),"")</f>
        <v>0.99749999999999972</v>
      </c>
      <c r="G32" s="49">
        <f>IFERROR((VLOOKUP(Table69[[#This Row],[Move Name]],Table70[[Move Name]:[Average Damage]],14,FALSE)*Table69[[#This Row],[% ADV]])+(0.05*VLOOKUP(Table69[[#This Row],[Move Name]],Table70[[Move Name]:[Average Damage]],14,FALSE)*2)," ")</f>
        <v>9.8774999999999977</v>
      </c>
      <c r="H32" s="47">
        <f>IFERROR(VLOOKUP(RIGHT($C$22,2)-VLOOKUP(Table69[[#This Row],[Move Name]],Table70[[Move Name]:[Bonus to Hit]],4,FALSE),Probability[],9,FALSE),"")</f>
        <v>0.90250000000000008</v>
      </c>
      <c r="I32" s="49">
        <f>IFERROR((VLOOKUP(Table69[[#This Row],[Move Name]],Table70[[Move Name]:[Average Damage]],14,FALSE)*Table69[[#This Row],[% DIS]])+(0.05*VLOOKUP(Table69[[#This Row],[Move Name]],Table70[[Move Name]:[Average Damage]],14,FALSE)*2)," ")</f>
        <v>9.0225000000000009</v>
      </c>
    </row>
    <row r="33" spans="1:15" x14ac:dyDescent="0.35">
      <c r="A33" s="45">
        <v>6</v>
      </c>
      <c r="B33" t="str">
        <f>IFERROR(IF(VLOOKUP(CONCATENATE($B$20,Table69[[#This Row],[Number]]),Table70[[Move Number]:[Attack Roll or Save]],3,FALSE)="Saving Throw"," ",VLOOKUP(CONCATENATE($B$20,Table69[[#This Row],[Number]]),Table70[[Move Number]:[Move Name]],2,FALSE))," ")</f>
        <v xml:space="preserve"> </v>
      </c>
      <c r="C33" s="47" t="str">
        <f>IFERROR(VLOOKUP(RIGHT($C$22,2)-VLOOKUP(Table69[[#This Row],[Move Name]],Table70[[Move Name]:[Bonus to Hit]],4,FALSE),Probability[],3,FALSE),"")</f>
        <v/>
      </c>
      <c r="D33" s="49" t="str">
        <f>IFERROR((VLOOKUP(Table69[[#This Row],[Move Name]],Table70[[Move Name]:[Average Damage]],14,FALSE)*Table69[[#This Row],[% to Hit]])+(0.05*VLOOKUP(Table69[[#This Row],[Move Name]],Table70[[Move Name]:[Average Damage]],14,FALSE)*2)," ")</f>
        <v xml:space="preserve"> </v>
      </c>
      <c r="E33" s="23" t="str">
        <f>IFERROR(VLOOKUP(RIGHT($C$22,2)-VLOOKUP(Table69[[#This Row],[Move Name]],Table70[[Move Name]:[Bonus to Hit]],4,FALSE),Probability[],6,FALSE),"")</f>
        <v/>
      </c>
      <c r="G33" s="49" t="str">
        <f>IFERROR((VLOOKUP(Table69[[#This Row],[Move Name]],Table70[[Move Name]:[Average Damage]],14,FALSE)*Table69[[#This Row],[% ADV]])+(0.05*VLOOKUP(Table69[[#This Row],[Move Name]],Table70[[Move Name]:[Average Damage]],14,FALSE)*2)," ")</f>
        <v xml:space="preserve"> </v>
      </c>
      <c r="H33" s="47" t="str">
        <f>IFERROR(VLOOKUP(RIGHT($C$22,2)-VLOOKUP(Table69[[#This Row],[Move Name]],Table70[[Move Name]:[Bonus to Hit]],4,FALSE),Probability[],9,FALSE),"")</f>
        <v/>
      </c>
      <c r="I33" s="49" t="str">
        <f>IFERROR((VLOOKUP(Table69[[#This Row],[Move Name]],Table70[[Move Name]:[Average Damage]],14,FALSE)*Table69[[#This Row],[% DIS]])+(0.05*VLOOKUP(Table69[[#This Row],[Move Name]],Table70[[Move Name]:[Average Damage]],14,FALSE)*2)," ")</f>
        <v xml:space="preserve"> </v>
      </c>
    </row>
    <row r="34" spans="1:15" x14ac:dyDescent="0.35">
      <c r="A34" s="45">
        <v>7</v>
      </c>
      <c r="B34" t="str">
        <f>IFERROR(IF(VLOOKUP(CONCATENATE($B$20,Table69[[#This Row],[Number]]),Table70[[Move Number]:[Attack Roll or Save]],3,FALSE)="Saving Throw"," ",VLOOKUP(CONCATENATE($B$20,Table69[[#This Row],[Number]]),Table70[[Move Number]:[Move Name]],2,FALSE))," ")</f>
        <v xml:space="preserve"> </v>
      </c>
      <c r="C34" s="47" t="str">
        <f>IFERROR(VLOOKUP(RIGHT($C$22,2)-VLOOKUP(Table69[[#This Row],[Move Name]],Table70[[Move Name]:[Bonus to Hit]],4,FALSE),Probability[],3,FALSE),"")</f>
        <v/>
      </c>
      <c r="D34" s="49" t="str">
        <f>IFERROR((VLOOKUP(Table69[[#This Row],[Move Name]],Table70[[Move Name]:[Average Damage]],14,FALSE)*Table69[[#This Row],[% to Hit]])+(0.05*VLOOKUP(Table69[[#This Row],[Move Name]],Table70[[Move Name]:[Average Damage]],14,FALSE)*2)," ")</f>
        <v xml:space="preserve"> </v>
      </c>
      <c r="E34" s="23" t="str">
        <f>IFERROR(VLOOKUP(RIGHT($C$22,2)-VLOOKUP(Table69[[#This Row],[Move Name]],Table70[[Move Name]:[Bonus to Hit]],4,FALSE),Probability[],6,FALSE),"")</f>
        <v/>
      </c>
      <c r="G34" s="49" t="str">
        <f>IFERROR((VLOOKUP(Table69[[#This Row],[Move Name]],Table70[[Move Name]:[Average Damage]],14,FALSE)*Table69[[#This Row],[% ADV]])+(0.05*VLOOKUP(Table69[[#This Row],[Move Name]],Table70[[Move Name]:[Average Damage]],14,FALSE)*2)," ")</f>
        <v xml:space="preserve"> </v>
      </c>
      <c r="H34" s="47" t="str">
        <f>IFERROR(VLOOKUP(RIGHT($C$22,2)-VLOOKUP(Table69[[#This Row],[Move Name]],Table70[[Move Name]:[Bonus to Hit]],4,FALSE),Probability[],9,FALSE),"")</f>
        <v/>
      </c>
      <c r="I34" s="49" t="str">
        <f>IFERROR((VLOOKUP(Table69[[#This Row],[Move Name]],Table70[[Move Name]:[Average Damage]],14,FALSE)*Table69[[#This Row],[% DIS]])+(0.05*VLOOKUP(Table69[[#This Row],[Move Name]],Table70[[Move Name]:[Average Damage]],14,FALSE)*2)," ")</f>
        <v xml:space="preserve"> </v>
      </c>
    </row>
    <row r="35" spans="1:15" x14ac:dyDescent="0.35">
      <c r="A35" s="45">
        <v>8</v>
      </c>
      <c r="B35" s="2" t="str">
        <f>IFERROR(IF(VLOOKUP(CONCATENATE($B$20,Table69[[#This Row],[Number]]),Table70[[Move Number]:[Attack Roll or Save]],3,FALSE)="Saving Throw"," ",VLOOKUP(CONCATENATE($B$20,Table69[[#This Row],[Number]]),Table70[[Move Number]:[Move Name]],2,FALSE))," ")</f>
        <v xml:space="preserve"> </v>
      </c>
      <c r="C35" s="47" t="str">
        <f>IFERROR(VLOOKUP(RIGHT($C$22,2)-VLOOKUP(Table69[[#This Row],[Move Name]],Table70[[Move Name]:[Bonus to Hit]],4,FALSE),Probability[],3,FALSE),"")</f>
        <v/>
      </c>
      <c r="D35" s="49" t="str">
        <f>IFERROR((VLOOKUP(Table69[[#This Row],[Move Name]],Table70[[Move Name]:[Average Damage]],14,FALSE)*Table69[[#This Row],[% to Hit]])+(0.05*VLOOKUP(Table69[[#This Row],[Move Name]],Table70[[Move Name]:[Average Damage]],14,FALSE)*2)," ")</f>
        <v xml:space="preserve"> </v>
      </c>
      <c r="E35" s="23" t="str">
        <f>IFERROR(VLOOKUP(RIGHT($C$22,2)-VLOOKUP(Table69[[#This Row],[Move Name]],Table70[[Move Name]:[Bonus to Hit]],4,FALSE),Probability[],6,FALSE),"")</f>
        <v/>
      </c>
      <c r="G35" s="49" t="str">
        <f>IFERROR((VLOOKUP(Table69[[#This Row],[Move Name]],Table70[[Move Name]:[Average Damage]],14,FALSE)*Table69[[#This Row],[% ADV]])+(0.05*VLOOKUP(Table69[[#This Row],[Move Name]],Table70[[Move Name]:[Average Damage]],14,FALSE)*2)," ")</f>
        <v xml:space="preserve"> </v>
      </c>
      <c r="H35" s="47" t="str">
        <f>IFERROR(VLOOKUP(RIGHT($C$22,2)-VLOOKUP(Table69[[#This Row],[Move Name]],Table70[[Move Name]:[Bonus to Hit]],4,FALSE),Probability[],9,FALSE),"")</f>
        <v/>
      </c>
      <c r="I35" s="49" t="str">
        <f>IFERROR((VLOOKUP(Table69[[#This Row],[Move Name]],Table70[[Move Name]:[Average Damage]],14,FALSE)*Table69[[#This Row],[% DIS]])+(0.05*VLOOKUP(Table69[[#This Row],[Move Name]],Table70[[Move Name]:[Average Damage]],14,FALSE)*2)," ")</f>
        <v xml:space="preserve"> </v>
      </c>
    </row>
    <row r="36" spans="1:15" x14ac:dyDescent="0.35">
      <c r="A36" s="45">
        <v>9</v>
      </c>
      <c r="B36" s="2" t="str">
        <f>IFERROR(IF(VLOOKUP(CONCATENATE($B$20,Table69[[#This Row],[Number]]),Table70[[Move Number]:[Attack Roll or Save]],3,FALSE)="Saving Throw"," ",VLOOKUP(CONCATENATE($B$20,Table69[[#This Row],[Number]]),Table70[[Move Number]:[Move Name]],2,FALSE))," ")</f>
        <v xml:space="preserve"> </v>
      </c>
      <c r="C36" s="47" t="str">
        <f>IFERROR(VLOOKUP(RIGHT($C$22,2)-VLOOKUP(Table69[[#This Row],[Move Name]],Table70[[Move Name]:[Bonus to Hit]],4,FALSE),Probability[],3,FALSE),"")</f>
        <v/>
      </c>
      <c r="D36" s="49" t="str">
        <f>IFERROR((VLOOKUP(Table69[[#This Row],[Move Name]],Table70[[Move Name]:[Average Damage]],14,FALSE)*Table69[[#This Row],[% to Hit]])+(0.05*VLOOKUP(Table69[[#This Row],[Move Name]],Table70[[Move Name]:[Average Damage]],14,FALSE)*2)," ")</f>
        <v xml:space="preserve"> </v>
      </c>
      <c r="E36" s="23" t="str">
        <f>IFERROR(VLOOKUP(RIGHT($C$22,2)-VLOOKUP(Table69[[#This Row],[Move Name]],Table70[[Move Name]:[Bonus to Hit]],4,FALSE),Probability[],6,FALSE),"")</f>
        <v/>
      </c>
      <c r="G36" s="49" t="str">
        <f>IFERROR((VLOOKUP(Table69[[#This Row],[Move Name]],Table70[[Move Name]:[Average Damage]],14,FALSE)*Table69[[#This Row],[% ADV]])+(0.05*VLOOKUP(Table69[[#This Row],[Move Name]],Table70[[Move Name]:[Average Damage]],14,FALSE)*2)," ")</f>
        <v xml:space="preserve"> </v>
      </c>
      <c r="H36" s="47" t="str">
        <f>IFERROR(VLOOKUP(RIGHT($C$22,2)-VLOOKUP(Table69[[#This Row],[Move Name]],Table70[[Move Name]:[Bonus to Hit]],4,FALSE),Probability[],9,FALSE),"")</f>
        <v/>
      </c>
      <c r="I36" s="49" t="str">
        <f>IFERROR((VLOOKUP(Table69[[#This Row],[Move Name]],Table70[[Move Name]:[Average Damage]],14,FALSE)*Table69[[#This Row],[% DIS]])+(0.05*VLOOKUP(Table69[[#This Row],[Move Name]],Table70[[Move Name]:[Average Damage]],14,FALSE)*2)," ")</f>
        <v xml:space="preserve"> </v>
      </c>
    </row>
    <row r="37" spans="1:15" x14ac:dyDescent="0.35">
      <c r="A37" s="45">
        <v>10</v>
      </c>
      <c r="B37" s="2" t="str">
        <f>IFERROR(IF(VLOOKUP(CONCATENATE($B$20,Table69[[#This Row],[Number]]),Table70[[Move Number]:[Attack Roll or Save]],3,FALSE)="Saving Throw"," ",VLOOKUP(CONCATENATE($B$20,Table69[[#This Row],[Number]]),Table70[[Move Number]:[Move Name]],2,FALSE))," ")</f>
        <v xml:space="preserve"> </v>
      </c>
      <c r="C37" s="47" t="str">
        <f>IFERROR(VLOOKUP(RIGHT($C$22,2)-VLOOKUP(Table69[[#This Row],[Move Name]],Table70[[Move Name]:[Bonus to Hit]],4,FALSE),Probability[],3,FALSE),"")</f>
        <v/>
      </c>
      <c r="D37" s="49" t="str">
        <f>IFERROR((VLOOKUP(Table69[[#This Row],[Move Name]],Table70[[Move Name]:[Average Damage]],14,FALSE)*Table69[[#This Row],[% to Hit]])+(0.05*VLOOKUP(Table69[[#This Row],[Move Name]],Table70[[Move Name]:[Average Damage]],14,FALSE)*2)," ")</f>
        <v xml:space="preserve"> </v>
      </c>
      <c r="E37" s="23" t="str">
        <f>IFERROR(VLOOKUP(RIGHT($C$22,2)-VLOOKUP(Table69[[#This Row],[Move Name]],Table70[[Move Name]:[Bonus to Hit]],4,FALSE),Probability[],6,FALSE),"")</f>
        <v/>
      </c>
      <c r="G37" s="49" t="str">
        <f>IFERROR((VLOOKUP(Table69[[#This Row],[Move Name]],Table70[[Move Name]:[Average Damage]],14,FALSE)*Table69[[#This Row],[% ADV]])+(0.05*VLOOKUP(Table69[[#This Row],[Move Name]],Table70[[Move Name]:[Average Damage]],14,FALSE)*2)," ")</f>
        <v xml:space="preserve"> </v>
      </c>
      <c r="H37" s="47" t="str">
        <f>IFERROR(VLOOKUP(RIGHT($C$22,2)-VLOOKUP(Table69[[#This Row],[Move Name]],Table70[[Move Name]:[Bonus to Hit]],4,FALSE),Probability[],9,FALSE),"")</f>
        <v/>
      </c>
      <c r="I37" s="49" t="str">
        <f>IFERROR((VLOOKUP(Table69[[#This Row],[Move Name]],Table70[[Move Name]:[Average Damage]],14,FALSE)*Table69[[#This Row],[% DIS]])+(0.05*VLOOKUP(Table69[[#This Row],[Move Name]],Table70[[Move Name]:[Average Damage]],14,FALSE)*2)," ")</f>
        <v xml:space="preserve"> </v>
      </c>
    </row>
    <row r="38" spans="1:15" x14ac:dyDescent="0.35">
      <c r="A38" s="45">
        <v>11</v>
      </c>
      <c r="B38" s="2" t="str">
        <f>IFERROR(IF(VLOOKUP(CONCATENATE($B$20,Table69[[#This Row],[Number]]),Table70[[Move Number]:[Attack Roll or Save]],3,FALSE)="Saving Throw"," ",VLOOKUP(CONCATENATE($B$20,Table69[[#This Row],[Number]]),Table70[[Move Number]:[Move Name]],2,FALSE))," ")</f>
        <v xml:space="preserve"> </v>
      </c>
      <c r="C38" s="47" t="str">
        <f>IFERROR(VLOOKUP(RIGHT($C$22,2)-VLOOKUP(Table69[[#This Row],[Move Name]],Table70[[Move Name]:[Bonus to Hit]],4,FALSE),Probability[],3,FALSE),"")</f>
        <v/>
      </c>
      <c r="D38" s="49" t="str">
        <f>IFERROR((VLOOKUP(Table69[[#This Row],[Move Name]],Table70[[Move Name]:[Average Damage]],14,FALSE)*Table69[[#This Row],[% to Hit]])+(0.05*VLOOKUP(Table69[[#This Row],[Move Name]],Table70[[Move Name]:[Average Damage]],14,FALSE)*2)," ")</f>
        <v xml:space="preserve"> </v>
      </c>
      <c r="E38" s="23" t="str">
        <f>IFERROR(VLOOKUP(RIGHT($C$22,2)-VLOOKUP(Table69[[#This Row],[Move Name]],Table70[[Move Name]:[Bonus to Hit]],4,FALSE),Probability[],6,FALSE),"")</f>
        <v/>
      </c>
      <c r="G38" s="49" t="str">
        <f>IFERROR((VLOOKUP(Table69[[#This Row],[Move Name]],Table70[[Move Name]:[Average Damage]],14,FALSE)*Table69[[#This Row],[% ADV]])+(0.05*VLOOKUP(Table69[[#This Row],[Move Name]],Table70[[Move Name]:[Average Damage]],14,FALSE)*2)," ")</f>
        <v xml:space="preserve"> </v>
      </c>
      <c r="H38" s="47" t="str">
        <f>IFERROR(VLOOKUP(RIGHT($C$22,2)-VLOOKUP(Table69[[#This Row],[Move Name]],Table70[[Move Name]:[Bonus to Hit]],4,FALSE),Probability[],9,FALSE),"")</f>
        <v/>
      </c>
      <c r="I38" s="49" t="str">
        <f>IFERROR((VLOOKUP(Table69[[#This Row],[Move Name]],Table70[[Move Name]:[Average Damage]],14,FALSE)*Table69[[#This Row],[% DIS]])+(0.05*VLOOKUP(Table69[[#This Row],[Move Name]],Table70[[Move Name]:[Average Damage]],14,FALSE)*2)," ")</f>
        <v xml:space="preserve"> </v>
      </c>
    </row>
    <row r="39" spans="1:15" x14ac:dyDescent="0.35">
      <c r="A39" s="45">
        <v>12</v>
      </c>
      <c r="B39" s="2" t="str">
        <f>IFERROR(IF(VLOOKUP(CONCATENATE($B$20,Table69[[#This Row],[Number]]),Table70[[Move Number]:[Attack Roll or Save]],3,FALSE)="Saving Throw"," ",VLOOKUP(CONCATENATE($B$20,Table69[[#This Row],[Number]]),Table70[[Move Number]:[Move Name]],2,FALSE))," ")</f>
        <v xml:space="preserve"> </v>
      </c>
      <c r="C39" s="47" t="str">
        <f>IFERROR(VLOOKUP(RIGHT($C$22,2)-VLOOKUP(Table69[[#This Row],[Move Name]],Table70[[Move Name]:[Bonus to Hit]],4,FALSE),Probability[],3,FALSE),"")</f>
        <v/>
      </c>
      <c r="D39" s="49" t="str">
        <f>IFERROR((VLOOKUP(Table69[[#This Row],[Move Name]],Table70[[Move Name]:[Average Damage]],14,FALSE)*Table69[[#This Row],[% to Hit]])+(0.05*VLOOKUP(Table69[[#This Row],[Move Name]],Table70[[Move Name]:[Average Damage]],14,FALSE)*2)," ")</f>
        <v xml:space="preserve"> </v>
      </c>
      <c r="E39" s="23" t="str">
        <f>IFERROR(VLOOKUP(RIGHT($C$22,2)-VLOOKUP(Table69[[#This Row],[Move Name]],Table70[[Move Name]:[Bonus to Hit]],4,FALSE),Probability[],6,FALSE),"")</f>
        <v/>
      </c>
      <c r="G39" s="49" t="str">
        <f>IFERROR((VLOOKUP(Table69[[#This Row],[Move Name]],Table70[[Move Name]:[Average Damage]],14,FALSE)*Table69[[#This Row],[% ADV]])+(0.05*VLOOKUP(Table69[[#This Row],[Move Name]],Table70[[Move Name]:[Average Damage]],14,FALSE)*2)," ")</f>
        <v xml:space="preserve"> </v>
      </c>
      <c r="H39" s="47" t="str">
        <f>IFERROR(VLOOKUP(RIGHT($C$22,2)-VLOOKUP(Table69[[#This Row],[Move Name]],Table70[[Move Name]:[Bonus to Hit]],4,FALSE),Probability[],9,FALSE),"")</f>
        <v/>
      </c>
      <c r="I39" s="49" t="str">
        <f>IFERROR((VLOOKUP(Table69[[#This Row],[Move Name]],Table70[[Move Name]:[Average Damage]],14,FALSE)*Table69[[#This Row],[% DIS]])+(0.05*VLOOKUP(Table69[[#This Row],[Move Name]],Table70[[Move Name]:[Average Damage]],14,FALSE)*2)," ")</f>
        <v xml:space="preserve"> </v>
      </c>
    </row>
    <row r="40" spans="1:15" x14ac:dyDescent="0.35">
      <c r="A40" s="45">
        <v>13</v>
      </c>
      <c r="B40" s="2" t="str">
        <f>IFERROR(IF(VLOOKUP(CONCATENATE($B$20,Table69[[#This Row],[Number]]),Table70[[Move Number]:[Attack Roll or Save]],3,FALSE)="Saving Throw"," ",VLOOKUP(CONCATENATE($B$20,Table69[[#This Row],[Number]]),Table70[[Move Number]:[Move Name]],2,FALSE))," ")</f>
        <v xml:space="preserve"> </v>
      </c>
      <c r="C40" s="47" t="str">
        <f>IFERROR(VLOOKUP(RIGHT($C$22,2)-VLOOKUP(Table69[[#This Row],[Move Name]],Table70[[Move Name]:[Bonus to Hit]],4,FALSE),Probability[],3,FALSE),"")</f>
        <v/>
      </c>
      <c r="D40" s="49" t="str">
        <f>IFERROR((VLOOKUP(Table69[[#This Row],[Move Name]],Table70[[Move Name]:[Average Damage]],14,FALSE)*Table69[[#This Row],[% to Hit]])+(0.05*VLOOKUP(Table69[[#This Row],[Move Name]],Table70[[Move Name]:[Average Damage]],14,FALSE)*2)," ")</f>
        <v xml:space="preserve"> </v>
      </c>
      <c r="E40" s="23" t="str">
        <f>IFERROR(VLOOKUP(RIGHT($C$22,2)-VLOOKUP(Table69[[#This Row],[Move Name]],Table70[[Move Name]:[Bonus to Hit]],4,FALSE),Probability[],6,FALSE),"")</f>
        <v/>
      </c>
      <c r="G40" s="49" t="str">
        <f>IFERROR((VLOOKUP(Table69[[#This Row],[Move Name]],Table70[[Move Name]:[Average Damage]],14,FALSE)*Table69[[#This Row],[% ADV]])+(0.05*VLOOKUP(Table69[[#This Row],[Move Name]],Table70[[Move Name]:[Average Damage]],14,FALSE)*2)," ")</f>
        <v xml:space="preserve"> </v>
      </c>
      <c r="H40" s="47" t="str">
        <f>IFERROR(VLOOKUP(RIGHT($C$22,2)-VLOOKUP(Table69[[#This Row],[Move Name]],Table70[[Move Name]:[Bonus to Hit]],4,FALSE),Probability[],9,FALSE),"")</f>
        <v/>
      </c>
      <c r="I40" s="49" t="str">
        <f>IFERROR((VLOOKUP(Table69[[#This Row],[Move Name]],Table70[[Move Name]:[Average Damage]],14,FALSE)*Table69[[#This Row],[% DIS]])+(0.05*VLOOKUP(Table69[[#This Row],[Move Name]],Table70[[Move Name]:[Average Damage]],14,FALSE)*2)," ")</f>
        <v xml:space="preserve"> </v>
      </c>
    </row>
    <row r="41" spans="1:15" x14ac:dyDescent="0.35">
      <c r="A41" s="45">
        <v>14</v>
      </c>
      <c r="B41" s="2" t="str">
        <f>IFERROR(IF(VLOOKUP(CONCATENATE($B$20,Table69[[#This Row],[Number]]),Table70[[Move Number]:[Attack Roll or Save]],3,FALSE)="Saving Throw"," ",VLOOKUP(CONCATENATE($B$20,Table69[[#This Row],[Number]]),Table70[[Move Number]:[Move Name]],2,FALSE))," ")</f>
        <v xml:space="preserve"> </v>
      </c>
      <c r="C41" s="47" t="str">
        <f>IFERROR(VLOOKUP(RIGHT($C$22,2)-VLOOKUP(Table69[[#This Row],[Move Name]],Table70[[Move Name]:[Bonus to Hit]],4,FALSE),Probability[],3,FALSE),"")</f>
        <v/>
      </c>
      <c r="D41" s="49" t="str">
        <f>IFERROR((VLOOKUP(Table69[[#This Row],[Move Name]],Table70[[Move Name]:[Average Damage]],14,FALSE)*Table69[[#This Row],[% to Hit]])+(0.05*VLOOKUP(Table69[[#This Row],[Move Name]],Table70[[Move Name]:[Average Damage]],14,FALSE)*2)," ")</f>
        <v xml:space="preserve"> </v>
      </c>
      <c r="E41" s="23" t="str">
        <f>IFERROR(VLOOKUP(RIGHT($C$22,2)-VLOOKUP(Table69[[#This Row],[Move Name]],Table70[[Move Name]:[Bonus to Hit]],4,FALSE),Probability[],6,FALSE),"")</f>
        <v/>
      </c>
      <c r="G41" s="49" t="str">
        <f>IFERROR((VLOOKUP(Table69[[#This Row],[Move Name]],Table70[[Move Name]:[Average Damage]],14,FALSE)*Table69[[#This Row],[% ADV]])+(0.05*VLOOKUP(Table69[[#This Row],[Move Name]],Table70[[Move Name]:[Average Damage]],14,FALSE)*2)," ")</f>
        <v xml:space="preserve"> </v>
      </c>
      <c r="H41" s="47" t="str">
        <f>IFERROR(VLOOKUP(RIGHT($C$22,2)-VLOOKUP(Table69[[#This Row],[Move Name]],Table70[[Move Name]:[Bonus to Hit]],4,FALSE),Probability[],9,FALSE),"")</f>
        <v/>
      </c>
      <c r="I41" s="49" t="str">
        <f>IFERROR((VLOOKUP(Table69[[#This Row],[Move Name]],Table70[[Move Name]:[Average Damage]],14,FALSE)*Table69[[#This Row],[% DIS]])+(0.05*VLOOKUP(Table69[[#This Row],[Move Name]],Table70[[Move Name]:[Average Damage]],14,FALSE)*2)," ")</f>
        <v xml:space="preserve"> </v>
      </c>
    </row>
    <row r="42" spans="1:15" x14ac:dyDescent="0.35">
      <c r="A42" s="45">
        <v>15</v>
      </c>
      <c r="B42" s="2" t="str">
        <f>IFERROR(IF(VLOOKUP(CONCATENATE($B$20,Table69[[#This Row],[Number]]),Table70[[Move Number]:[Attack Roll or Save]],3,FALSE)="Saving Throw"," ",VLOOKUP(CONCATENATE($B$20,Table69[[#This Row],[Number]]),Table70[[Move Number]:[Move Name]],2,FALSE))," ")</f>
        <v xml:space="preserve"> </v>
      </c>
      <c r="C42" s="47" t="str">
        <f>IFERROR(VLOOKUP(RIGHT($C$22,2)-VLOOKUP(Table69[[#This Row],[Move Name]],Table70[[Move Name]:[Bonus to Hit]],4,FALSE),Probability[],3,FALSE),"")</f>
        <v/>
      </c>
      <c r="D42" s="49" t="str">
        <f>IFERROR((VLOOKUP(Table69[[#This Row],[Move Name]],Table70[[Move Name]:[Average Damage]],14,FALSE)*Table69[[#This Row],[% to Hit]])+(0.05*VLOOKUP(Table69[[#This Row],[Move Name]],Table70[[Move Name]:[Average Damage]],14,FALSE)*2)," ")</f>
        <v xml:space="preserve"> </v>
      </c>
      <c r="E42" s="23" t="str">
        <f>IFERROR(VLOOKUP(RIGHT($C$22,2)-VLOOKUP(Table69[[#This Row],[Move Name]],Table70[[Move Name]:[Bonus to Hit]],4,FALSE),Probability[],6,FALSE),"")</f>
        <v/>
      </c>
      <c r="G42" s="49" t="str">
        <f>IFERROR((VLOOKUP(Table69[[#This Row],[Move Name]],Table70[[Move Name]:[Average Damage]],14,FALSE)*Table69[[#This Row],[% ADV]])+(0.05*VLOOKUP(Table69[[#This Row],[Move Name]],Table70[[Move Name]:[Average Damage]],14,FALSE)*2)," ")</f>
        <v xml:space="preserve"> </v>
      </c>
      <c r="H42" s="47" t="str">
        <f>IFERROR(VLOOKUP(RIGHT($C$22,2)-VLOOKUP(Table69[[#This Row],[Move Name]],Table70[[Move Name]:[Bonus to Hit]],4,FALSE),Probability[],9,FALSE),"")</f>
        <v/>
      </c>
      <c r="I42" s="49" t="str">
        <f>IFERROR((VLOOKUP(Table69[[#This Row],[Move Name]],Table70[[Move Name]:[Average Damage]],14,FALSE)*Table69[[#This Row],[% DIS]])+(0.05*VLOOKUP(Table69[[#This Row],[Move Name]],Table70[[Move Name]:[Average Damage]],14,FALSE)*2)," ")</f>
        <v xml:space="preserve"> </v>
      </c>
    </row>
    <row r="43" spans="1:15" x14ac:dyDescent="0.35">
      <c r="A43" t="s">
        <v>548</v>
      </c>
      <c r="B43" t="s">
        <v>513</v>
      </c>
      <c r="C43" t="s">
        <v>549</v>
      </c>
      <c r="D43" t="s">
        <v>502</v>
      </c>
      <c r="E43" t="s">
        <v>550</v>
      </c>
      <c r="F43" t="s">
        <v>112</v>
      </c>
      <c r="G43" t="s">
        <v>420</v>
      </c>
      <c r="H43" t="s">
        <v>551</v>
      </c>
      <c r="I43" t="s">
        <v>421</v>
      </c>
      <c r="K43" t="s">
        <v>546</v>
      </c>
      <c r="L43" t="s">
        <v>513</v>
      </c>
      <c r="M43" t="s">
        <v>650</v>
      </c>
      <c r="N43" t="s">
        <v>422</v>
      </c>
      <c r="O43" t="s">
        <v>418</v>
      </c>
    </row>
    <row r="44" spans="1:15" x14ac:dyDescent="0.35">
      <c r="A44" s="46">
        <v>1</v>
      </c>
      <c r="B44" t="str">
        <f>IFERROR(IF(VLOOKUP(CONCATENATE($B$20,Table82[[#This Row],[Number ]]),Table70[[Move Number]:[Attack Roll or Save]],3,FALSE)="Attack Roll"," ",VLOOKUP(CONCATENATE($B$20,Table82[[#This Row],[Number ]]),Table70[[Move Number]:[Move Name]],2,FALSE))," ")</f>
        <v xml:space="preserve"> </v>
      </c>
      <c r="C44" s="21" t="str">
        <f>IFERROR(VLOOKUP(VLOOKUP(Table82[[#This Row],[Move Name]],Table70[[Move Name]:[Save DC]],6,FALSE)-VLOOKUP('Facade Dashboard'!$B$22,'Rules of the Game'!$V$3:$AJ$14,MATCH(VLOOKUP(Table82[[#This Row],[Move Name]],Table70[[Move Name]:[Save Type]],5,FALSE),Enemies[#Headers],0),FALSE),'Rules of the Game'!$G$88:$T$108,4,FALSE),"")</f>
        <v/>
      </c>
      <c r="D44" t="str">
        <f>IFERROR((VLOOKUP(Table82[[#This Row],[Move Name]],Table70[[Move Name]:[Average Damage]],14,FALSE)*Table82[[#This Row],[% Creature Fails]])+(0.05*VLOOKUP(Table82[[#This Row],[Move Name]],Table70[[Move Name]:[Average Damage]],14,FALSE)*2),"")</f>
        <v/>
      </c>
      <c r="E44" s="21" t="str">
        <f>IFERROR(VLOOKUP(VLOOKUP(Table82[[#This Row],[Move Name]],Table70[[Move Name]:[Save DC]],6,FALSE)-VLOOKUP('Facade Dashboard'!$B$22,'Rules of the Game'!$V$3:$AJ$14,MATCH(VLOOKUP(Table82[[#This Row],[Move Name]],Table70[[Move Name]:[Save Type]],5,FALSE),Enemies[#Headers],0),FALSE),'Rules of the Game'!$G$88:$T$108,7,FALSE),"")</f>
        <v/>
      </c>
      <c r="G44" t="str">
        <f>IFERROR((VLOOKUP(Table82[[#This Row],[Move Name]],Table70[[Move Name]:[Average Damage]],14,FALSE)*Table82[[#This Row],[% Creature Fails w/ ADV]])+(0.05*VLOOKUP(Table82[[#This Row],[Move Name]],Table70[[Move Name]:[Average Damage]],14,FALSE)*2),"")</f>
        <v/>
      </c>
      <c r="H44" s="21" t="str">
        <f>IFERROR(VLOOKUP(VLOOKUP(Table82[[#This Row],[Move Name]],Table70[[Move Name]:[Save DC]],6,FALSE)-VLOOKUP('Facade Dashboard'!$B$22,'Rules of the Game'!$V$3:$AJ$14,MATCH(VLOOKUP(Table82[[#This Row],[Move Name]],Table70[[Move Name]:[Save Type]],5,FALSE),Enemies[#Headers],0),FALSE),'Rules of the Game'!$G$88:$T$108,10,FALSE),"")</f>
        <v/>
      </c>
      <c r="I44" t="str">
        <f>IFERROR((VLOOKUP(Table82[[#This Row],[Move Name]],Table70[[Move Name]:[Average Damage]],14,FALSE)*Table82[[#This Row],[% Creature Fails with DIS]])+(0.05*VLOOKUP(Table82[[#This Row],[Move Name]],Table70[[Move Name]:[Average Damage]],14,FALSE)*2),"")</f>
        <v/>
      </c>
      <c r="K44">
        <v>1</v>
      </c>
      <c r="L44" t="str">
        <f>IFERROR(IF(VLOOKUP(CONCATENATE($B$22,Table99[[#This Row],[Number]]),Table100[[Move Number]:[Attack Roll or Save]],3,FALSE)="Saving Throw","",VLOOKUP(CONCATENATE($B$22,Table99[[#This Row],[Number]]),Table100[[Move Number]:[Move Name]],2,FALSE)),"")</f>
        <v>Tentacles</v>
      </c>
      <c r="M44" s="57">
        <f>IFERROR(VLOOKUP(VLOOKUP($B$20,CreatureTracker[[Creature]:[AC]],2,FALSE)-VLOOKUP(Table99[[#This Row],[Move Name]],Table100[[Move Name]:[Bonus to Hit]],4,FALSE),Probability[],3,FALSE),"")</f>
        <v>0.39999999999999997</v>
      </c>
      <c r="N44" s="57">
        <f>IFERROR(VLOOKUP(VLOOKUP($B$20,CreatureTracker[[Creature]:[AC]],2,FALSE)-VLOOKUP(Table99[[#This Row],[Move Name]],Table100[[Move Name]:[Bonus to Hit]],4,FALSE),Probability[],9,FALSE),"")</f>
        <v>0.16</v>
      </c>
      <c r="O44" s="57">
        <f>IFERROR(VLOOKUP(VLOOKUP($B$20,CreatureTracker[[Creature]:[AC]],2,FALSE)-VLOOKUP(Table99[[#This Row],[Move Name]],Table100[[Move Name]:[Bonus to Hit]],4,FALSE),Probability[],6,FALSE),"")</f>
        <v>0.64</v>
      </c>
    </row>
    <row r="45" spans="1:15" x14ac:dyDescent="0.35">
      <c r="A45" s="46">
        <v>2</v>
      </c>
      <c r="B45" t="str">
        <f>IFERROR(IF(VLOOKUP(CONCATENATE($B$20,Table82[[#This Row],[Number ]]),Table70[[Move Number]:[Attack Roll or Save]],3,FALSE)="Attack Roll"," ",VLOOKUP(CONCATENATE($B$20,Table82[[#This Row],[Number ]]),Table70[[Move Number]:[Move Name]],2,FALSE))," ")</f>
        <v xml:space="preserve"> </v>
      </c>
      <c r="C45" s="21" t="str">
        <f>IFERROR(VLOOKUP(VLOOKUP(Table82[[#This Row],[Move Name]],Table70[[Move Name]:[Save DC]],6,FALSE)-VLOOKUP('Facade Dashboard'!$B$22,'Rules of the Game'!$V$3:$AJ$14,MATCH(VLOOKUP(Table82[[#This Row],[Move Name]],Table70[[Move Name]:[Save Type]],5,FALSE),Enemies[#Headers],0),FALSE),'Rules of the Game'!$G$88:$T$108,4,FALSE),"")</f>
        <v/>
      </c>
      <c r="D45" t="str">
        <f>IFERROR((VLOOKUP(Table82[[#This Row],[Move Name]],Table70[[Move Name]:[Average Damage]],14,FALSE)*Table82[[#This Row],[% Creature Fails]])+(0.05*VLOOKUP(Table82[[#This Row],[Move Name]],Table70[[Move Name]:[Average Damage]],14,FALSE)*2),"")</f>
        <v/>
      </c>
      <c r="E45" s="48" t="str">
        <f>IFERROR(VLOOKUP(VLOOKUP(Table82[[#This Row],[Move Name]],Table70[[Move Name]:[Save DC]],6,FALSE)-VLOOKUP('Facade Dashboard'!$B$22,'Rules of the Game'!$V$3:$AJ$14,MATCH(VLOOKUP(Table82[[#This Row],[Move Name]],Table70[[Move Name]:[Save Type]],5,FALSE),Enemies[#Headers],0),FALSE),'Rules of the Game'!$G$88:$T$108,7,FALSE),"")</f>
        <v/>
      </c>
      <c r="G45" t="str">
        <f>IFERROR((VLOOKUP(Table82[[#This Row],[Move Name]],Table70[[Move Name]:[Average Damage]],14,FALSE)*Table82[[#This Row],[% Creature Fails w/ ADV]])+(0.05*VLOOKUP(Table82[[#This Row],[Move Name]],Table70[[Move Name]:[Average Damage]],14,FALSE)*2),"")</f>
        <v/>
      </c>
      <c r="H45" s="48" t="str">
        <f>IFERROR(VLOOKUP(VLOOKUP(Table82[[#This Row],[Move Name]],Table70[[Move Name]:[Save DC]],6,FALSE)-VLOOKUP('Facade Dashboard'!$B$22,'Rules of the Game'!$V$3:$AJ$14,MATCH(VLOOKUP(Table82[[#This Row],[Move Name]],Table70[[Move Name]:[Save Type]],5,FALSE),Enemies[#Headers],0),FALSE),'Rules of the Game'!$G$88:$T$108,10,FALSE),"")</f>
        <v/>
      </c>
      <c r="I45" t="str">
        <f>IFERROR((VLOOKUP(Table82[[#This Row],[Move Name]],Table70[[Move Name]:[Average Damage]],14,FALSE)*Table82[[#This Row],[% Creature Fails with DIS]])+(0.05*VLOOKUP(Table82[[#This Row],[Move Name]],Table70[[Move Name]:[Average Damage]],14,FALSE)*2),"")</f>
        <v/>
      </c>
      <c r="K45">
        <v>2</v>
      </c>
      <c r="L45" t="str">
        <f>IFERROR(IF(VLOOKUP(CONCATENATE($B$22,Table99[[#This Row],[Number]]),Table100[[Move Number]:[Attack Roll or Save]],3,FALSE)="Saving Throw","",VLOOKUP(CONCATENATE($B$22,Table99[[#This Row],[Number]]),Table100[[Move Number]:[Move Name]],2,FALSE)),"")</f>
        <v>Extract Brain</v>
      </c>
      <c r="M45" s="21">
        <f>IFERROR(VLOOKUP(VLOOKUP($B$20,CreatureTracker[[Creature]:[AC]],2,FALSE)-VLOOKUP(Table99[[#This Row],[Move Name]],Table100[[Move Name]:[Bonus to Hit]],4,FALSE),Probability[],3,FALSE),"")</f>
        <v>0.39999999999999997</v>
      </c>
      <c r="N45" s="21">
        <f>IFERROR(VLOOKUP(VLOOKUP($B$20,CreatureTracker[[Creature]:[AC]],2,FALSE)-VLOOKUP(Table99[[#This Row],[Move Name]],Table100[[Move Name]:[Bonus to Hit]],4,FALSE),Probability[],9,FALSE),"")</f>
        <v>0.16</v>
      </c>
      <c r="O45" s="21">
        <f>IFERROR(VLOOKUP(VLOOKUP($B$20,CreatureTracker[[Creature]:[AC]],2,FALSE)-VLOOKUP(Table99[[#This Row],[Move Name]],Table100[[Move Name]:[Bonus to Hit]],4,FALSE),Probability[],6,FALSE),"")</f>
        <v>0.64</v>
      </c>
    </row>
    <row r="46" spans="1:15" x14ac:dyDescent="0.35">
      <c r="A46" s="46">
        <v>3</v>
      </c>
      <c r="B46" t="str">
        <f>IFERROR(IF(VLOOKUP(CONCATENATE($B$20,Table82[[#This Row],[Number ]]),Table70[[Move Number]:[Attack Roll or Save]],3,FALSE)="Attack Roll"," ",VLOOKUP(CONCATENATE($B$20,Table82[[#This Row],[Number ]]),Table70[[Move Number]:[Move Name]],2,FALSE))," ")</f>
        <v xml:space="preserve"> </v>
      </c>
      <c r="C46" s="21" t="str">
        <f>IFERROR(VLOOKUP(VLOOKUP(Table82[[#This Row],[Move Name]],Table70[[Move Name]:[Save DC]],6,FALSE)-VLOOKUP('Facade Dashboard'!$B$22,'Rules of the Game'!$V$3:$AJ$14,MATCH(VLOOKUP(Table82[[#This Row],[Move Name]],Table70[[Move Name]:[Save Type]],5,FALSE),Enemies[#Headers],0),FALSE),'Rules of the Game'!$G$88:$T$108,4,FALSE),"")</f>
        <v/>
      </c>
      <c r="D46" t="str">
        <f>IFERROR((VLOOKUP(Table82[[#This Row],[Move Name]],Table70[[Move Name]:[Average Damage]],14,FALSE)*Table82[[#This Row],[% Creature Fails]])+(0.05*VLOOKUP(Table82[[#This Row],[Move Name]],Table70[[Move Name]:[Average Damage]],14,FALSE)*2),"")</f>
        <v/>
      </c>
      <c r="E46" s="48" t="str">
        <f>IFERROR(VLOOKUP(VLOOKUP(Table82[[#This Row],[Move Name]],Table70[[Move Name]:[Save DC]],6,FALSE)-VLOOKUP('Facade Dashboard'!$B$22,'Rules of the Game'!$V$3:$AJ$14,MATCH(VLOOKUP(Table82[[#This Row],[Move Name]],Table70[[Move Name]:[Save Type]],5,FALSE),Enemies[#Headers],0),FALSE),'Rules of the Game'!$G$88:$T$108,7,FALSE),"")</f>
        <v/>
      </c>
      <c r="G46" s="49" t="str">
        <f>IFERROR((VLOOKUP(Table82[[#This Row],[Move Name]],Table70[[Move Name]:[Average Damage]],14,FALSE)*Table82[[#This Row],[% Creature Fails w/ ADV]])+(0.05*VLOOKUP(Table82[[#This Row],[Move Name]],Table70[[Move Name]:[Average Damage]],14,FALSE)*2),"")</f>
        <v/>
      </c>
      <c r="H46" s="48" t="str">
        <f>IFERROR(VLOOKUP(VLOOKUP(Table82[[#This Row],[Move Name]],Table70[[Move Name]:[Save DC]],6,FALSE)-VLOOKUP('Facade Dashboard'!$B$22,'Rules of the Game'!$V$3:$AJ$14,MATCH(VLOOKUP(Table82[[#This Row],[Move Name]],Table70[[Move Name]:[Save Type]],5,FALSE),Enemies[#Headers],0),FALSE),'Rules of the Game'!$G$88:$T$108,10,FALSE),"")</f>
        <v/>
      </c>
      <c r="I46" s="49" t="str">
        <f>IFERROR((VLOOKUP(Table82[[#This Row],[Move Name]],Table70[[Move Name]:[Average Damage]],14,FALSE)*Table82[[#This Row],[% Creature Fails with DIS]])+(0.05*VLOOKUP(Table82[[#This Row],[Move Name]],Table70[[Move Name]:[Average Damage]],14,FALSE)*2),"")</f>
        <v/>
      </c>
      <c r="K46">
        <v>3</v>
      </c>
      <c r="L46" t="str">
        <f>IFERROR(IF(VLOOKUP(CONCATENATE($B$22,Table99[[#This Row],[Number]]),Table100[[Move Number]:[Attack Roll or Save]],3,FALSE)="Saving Throw","",VLOOKUP(CONCATENATE($B$22,Table99[[#This Row],[Number]]),Table100[[Move Number]:[Move Name]],2,FALSE)),"")</f>
        <v/>
      </c>
      <c r="M46" s="21" t="str">
        <f>IFERROR(VLOOKUP(VLOOKUP($B$20,CreatureTracker[[Creature]:[AC]],2,FALSE)-VLOOKUP(Table99[[#This Row],[Move Name]],Table100[[Move Name]:[Bonus to Hit]],4,FALSE),Probability[],3,FALSE),"")</f>
        <v/>
      </c>
      <c r="N46" s="21" t="str">
        <f>IFERROR(VLOOKUP(VLOOKUP($B$20,CreatureTracker[[Creature]:[AC]],2,FALSE)-VLOOKUP(Table99[[#This Row],[Move Name]],Table100[[Move Name]:[Bonus to Hit]],4,FALSE),Probability[],9,FALSE),"")</f>
        <v/>
      </c>
      <c r="O46" s="21" t="str">
        <f>IFERROR(VLOOKUP(VLOOKUP($B$20,CreatureTracker[[Creature]:[AC]],2,FALSE)-VLOOKUP(Table99[[#This Row],[Move Name]],Table100[[Move Name]:[Bonus to Hit]],4,FALSE),Probability[],6,FALSE),"")</f>
        <v/>
      </c>
    </row>
    <row r="47" spans="1:15" x14ac:dyDescent="0.35">
      <c r="A47" s="46">
        <v>4</v>
      </c>
      <c r="B47" t="str">
        <f>IFERROR(IF(VLOOKUP(CONCATENATE($B$20,Table82[[#This Row],[Number ]]),Table70[[Move Number]:[Attack Roll or Save]],3,FALSE)="Attack Roll"," ",VLOOKUP(CONCATENATE($B$20,Table82[[#This Row],[Number ]]),Table70[[Move Number]:[Move Name]],2,FALSE))," ")</f>
        <v xml:space="preserve"> </v>
      </c>
      <c r="C47" s="21" t="str">
        <f>IFERROR(VLOOKUP(VLOOKUP(Table82[[#This Row],[Move Name]],Table70[[Move Name]:[Save DC]],6,FALSE)-VLOOKUP('Facade Dashboard'!$B$22,'Rules of the Game'!$V$3:$AJ$14,MATCH(VLOOKUP(Table82[[#This Row],[Move Name]],Table70[[Move Name]:[Save Type]],5,FALSE),Enemies[#Headers],0),FALSE),'Rules of the Game'!$G$88:$T$108,4,FALSE),"")</f>
        <v/>
      </c>
      <c r="D47" t="str">
        <f>IFERROR((VLOOKUP(Table82[[#This Row],[Move Name]],Table70[[Move Name]:[Average Damage]],14,FALSE)*Table82[[#This Row],[% Creature Fails]])+(0.05*VLOOKUP(Table82[[#This Row],[Move Name]],Table70[[Move Name]:[Average Damage]],14,FALSE)*2),"")</f>
        <v/>
      </c>
      <c r="E47" s="48" t="str">
        <f>IFERROR(VLOOKUP(VLOOKUP(Table82[[#This Row],[Move Name]],Table70[[Move Name]:[Save DC]],6,FALSE)-VLOOKUP('Facade Dashboard'!$B$22,'Rules of the Game'!$V$3:$AJ$14,MATCH(VLOOKUP(Table82[[#This Row],[Move Name]],Table70[[Move Name]:[Save Type]],5,FALSE),Enemies[#Headers],0),FALSE),'Rules of the Game'!$G$88:$T$108,7,FALSE),"")</f>
        <v/>
      </c>
      <c r="G47" t="str">
        <f>IFERROR((VLOOKUP(Table82[[#This Row],[Move Name]],Table70[[Move Name]:[Average Damage]],14,FALSE)*Table82[[#This Row],[% Creature Fails w/ ADV]])+(0.05*VLOOKUP(Table82[[#This Row],[Move Name]],Table70[[Move Name]:[Average Damage]],14,FALSE)*2),"")</f>
        <v/>
      </c>
      <c r="H47" s="48" t="str">
        <f>IFERROR(VLOOKUP(VLOOKUP(Table82[[#This Row],[Move Name]],Table70[[Move Name]:[Save DC]],6,FALSE)-VLOOKUP('Facade Dashboard'!$B$22,'Rules of the Game'!$V$3:$AJ$14,MATCH(VLOOKUP(Table82[[#This Row],[Move Name]],Table70[[Move Name]:[Save Type]],5,FALSE),Enemies[#Headers],0),FALSE),'Rules of the Game'!$G$88:$T$108,10,FALSE),"")</f>
        <v/>
      </c>
      <c r="I47" t="str">
        <f>IFERROR((VLOOKUP(Table82[[#This Row],[Move Name]],Table70[[Move Name]:[Average Damage]],14,FALSE)*Table82[[#This Row],[% Creature Fails with DIS]])+(0.05*VLOOKUP(Table82[[#This Row],[Move Name]],Table70[[Move Name]:[Average Damage]],14,FALSE)*2),"")</f>
        <v/>
      </c>
      <c r="K47">
        <v>4</v>
      </c>
      <c r="L47" t="str">
        <f>IFERROR(IF(VLOOKUP(CONCATENATE($B$22,Table99[[#This Row],[Number]]),Table100[[Move Number]:[Attack Roll or Save]],3,FALSE)="Saving Throw","",VLOOKUP(CONCATENATE($B$22,Table99[[#This Row],[Number]]),Table100[[Move Number]:[Move Name]],2,FALSE)),"")</f>
        <v/>
      </c>
      <c r="M47" s="21" t="str">
        <f>IFERROR(VLOOKUP(VLOOKUP($B$20,CreatureTracker[[Creature]:[AC]],2,FALSE)-VLOOKUP(Table99[[#This Row],[Move Name]],Table100[[Move Name]:[Bonus to Hit]],4,FALSE),Probability[],3,FALSE),"")</f>
        <v/>
      </c>
      <c r="N47" s="21" t="str">
        <f>IFERROR(VLOOKUP(VLOOKUP($B$20,CreatureTracker[[Creature]:[AC]],2,FALSE)-VLOOKUP(Table99[[#This Row],[Move Name]],Table100[[Move Name]:[Bonus to Hit]],4,FALSE),Probability[],9,FALSE),"")</f>
        <v/>
      </c>
      <c r="O47" s="21" t="str">
        <f>IFERROR(VLOOKUP(VLOOKUP($B$20,CreatureTracker[[Creature]:[AC]],2,FALSE)-VLOOKUP(Table99[[#This Row],[Move Name]],Table100[[Move Name]:[Bonus to Hit]],4,FALSE),Probability[],6,FALSE),"")</f>
        <v/>
      </c>
    </row>
    <row r="48" spans="1:15" x14ac:dyDescent="0.35">
      <c r="A48" s="46">
        <v>5</v>
      </c>
      <c r="B48" t="str">
        <f>IFERROR(IF(VLOOKUP(CONCATENATE($B$20,Table82[[#This Row],[Number ]]),Table70[[Move Number]:[Attack Roll or Save]],3,FALSE)="Attack Roll"," ",VLOOKUP(CONCATENATE($B$20,Table82[[#This Row],[Number ]]),Table70[[Move Number]:[Move Name]],2,FALSE))," ")</f>
        <v xml:space="preserve"> </v>
      </c>
      <c r="C48" s="21" t="str">
        <f>IFERROR(VLOOKUP(VLOOKUP(Table82[[#This Row],[Move Name]],Table70[[Move Name]:[Save DC]],6,FALSE)-VLOOKUP('Facade Dashboard'!$B$22,'Rules of the Game'!$V$3:$AJ$14,MATCH(VLOOKUP(Table82[[#This Row],[Move Name]],Table70[[Move Name]:[Save Type]],5,FALSE),Enemies[#Headers],0),FALSE),'Rules of the Game'!$G$88:$T$108,4,FALSE),"")</f>
        <v/>
      </c>
      <c r="D48" t="str">
        <f>IFERROR((VLOOKUP(Table82[[#This Row],[Move Name]],Table70[[Move Name]:[Average Damage]],14,FALSE)*Table82[[#This Row],[% Creature Fails]])+(0.05*VLOOKUP(Table82[[#This Row],[Move Name]],Table70[[Move Name]:[Average Damage]],14,FALSE)*2),"")</f>
        <v/>
      </c>
      <c r="E48" s="48" t="str">
        <f>IFERROR(VLOOKUP(VLOOKUP(Table82[[#This Row],[Move Name]],Table70[[Move Name]:[Save DC]],6,FALSE)-VLOOKUP('Facade Dashboard'!$B$22,'Rules of the Game'!$V$3:$AJ$14,MATCH(VLOOKUP(Table82[[#This Row],[Move Name]],Table70[[Move Name]:[Save Type]],5,FALSE),Enemies[#Headers],0),FALSE),'Rules of the Game'!$G$88:$T$108,7,FALSE),"")</f>
        <v/>
      </c>
      <c r="G48" t="str">
        <f>IFERROR((VLOOKUP(Table82[[#This Row],[Move Name]],Table70[[Move Name]:[Average Damage]],14,FALSE)*Table82[[#This Row],[% Creature Fails w/ ADV]])+(0.05*VLOOKUP(Table82[[#This Row],[Move Name]],Table70[[Move Name]:[Average Damage]],14,FALSE)*2),"")</f>
        <v/>
      </c>
      <c r="H48" s="48" t="str">
        <f>IFERROR(VLOOKUP(VLOOKUP(Table82[[#This Row],[Move Name]],Table70[[Move Name]:[Save DC]],6,FALSE)-VLOOKUP('Facade Dashboard'!$B$22,'Rules of the Game'!$V$3:$AJ$14,MATCH(VLOOKUP(Table82[[#This Row],[Move Name]],Table70[[Move Name]:[Save Type]],5,FALSE),Enemies[#Headers],0),FALSE),'Rules of the Game'!$G$88:$T$108,10,FALSE),"")</f>
        <v/>
      </c>
      <c r="I48" t="str">
        <f>IFERROR((VLOOKUP(Table82[[#This Row],[Move Name]],Table70[[Move Name]:[Average Damage]],14,FALSE)*Table82[[#This Row],[% Creature Fails with DIS]])+(0.05*VLOOKUP(Table82[[#This Row],[Move Name]],Table70[[Move Name]:[Average Damage]],14,FALSE)*2),"")</f>
        <v/>
      </c>
      <c r="K48">
        <v>5</v>
      </c>
      <c r="L48" t="str">
        <f>IFERROR(IF(VLOOKUP(CONCATENATE($B$22,Table99[[#This Row],[Number]]),Table100[[Move Number]:[Attack Roll or Save]],3,FALSE)="Saving Throw","",VLOOKUP(CONCATENATE($B$22,Table99[[#This Row],[Number]]),Table100[[Move Number]:[Move Name]],2,FALSE)),"")</f>
        <v/>
      </c>
      <c r="M48" s="21" t="str">
        <f>IFERROR(VLOOKUP(VLOOKUP($B$20,CreatureTracker[[Creature]:[AC]],2,FALSE)-VLOOKUP(Table99[[#This Row],[Move Name]],Table100[[Move Name]:[Bonus to Hit]],4,FALSE),Probability[],3,FALSE),"")</f>
        <v/>
      </c>
      <c r="N48" s="21" t="str">
        <f>IFERROR(VLOOKUP(VLOOKUP($B$20,CreatureTracker[[Creature]:[AC]],2,FALSE)-VLOOKUP(Table99[[#This Row],[Move Name]],Table100[[Move Name]:[Bonus to Hit]],4,FALSE),Probability[],9,FALSE),"")</f>
        <v/>
      </c>
      <c r="O48" s="21" t="str">
        <f>IFERROR(VLOOKUP(VLOOKUP($B$20,CreatureTracker[[Creature]:[AC]],2,FALSE)-VLOOKUP(Table99[[#This Row],[Move Name]],Table100[[Move Name]:[Bonus to Hit]],4,FALSE),Probability[],6,FALSE),"")</f>
        <v/>
      </c>
    </row>
    <row r="49" spans="1:15" x14ac:dyDescent="0.35">
      <c r="A49" s="46">
        <v>6</v>
      </c>
      <c r="B49" t="str">
        <f>IFERROR(IF(VLOOKUP(CONCATENATE($B$20,Table82[[#This Row],[Number ]]),Table70[[Move Number]:[Attack Roll or Save]],3,FALSE)="Attack Roll"," ",VLOOKUP(CONCATENATE($B$20,Table82[[#This Row],[Number ]]),Table70[[Move Number]:[Move Name]],2,FALSE))," ")</f>
        <v>Telekinetic Shove</v>
      </c>
      <c r="C49" s="21" t="str">
        <f>IFERROR(VLOOKUP(VLOOKUP(Table82[[#This Row],[Move Name]],Table70[[Move Name]:[Save DC]],6,FALSE)-VLOOKUP('Facade Dashboard'!$B$22,'Rules of the Game'!$V$3:$AJ$14,MATCH(VLOOKUP(Table82[[#This Row],[Move Name]],Table70[[Move Name]:[Save Type]],5,FALSE),Enemies[#Headers],0),FALSE),'Rules of the Game'!$G$88:$T$108,4,FALSE),"")</f>
        <v/>
      </c>
      <c r="D49" t="str">
        <f>IFERROR((VLOOKUP(Table82[[#This Row],[Move Name]],Table70[[Move Name]:[Average Damage]],14,FALSE)*Table82[[#This Row],[% Creature Fails]])+(0.05*VLOOKUP(Table82[[#This Row],[Move Name]],Table70[[Move Name]:[Average Damage]],14,FALSE)*2),"")</f>
        <v/>
      </c>
      <c r="E49" s="48" t="str">
        <f>IFERROR(VLOOKUP(VLOOKUP(Table82[[#This Row],[Move Name]],Table70[[Move Name]:[Save DC]],6,FALSE)-VLOOKUP('Facade Dashboard'!$B$22,'Rules of the Game'!$V$3:$AJ$14,MATCH(VLOOKUP(Table82[[#This Row],[Move Name]],Table70[[Move Name]:[Save Type]],5,FALSE),Enemies[#Headers],0),FALSE),'Rules of the Game'!$G$88:$T$108,7,FALSE),"")</f>
        <v/>
      </c>
      <c r="G49" t="str">
        <f>IFERROR((VLOOKUP(Table82[[#This Row],[Move Name]],Table70[[Move Name]:[Average Damage]],14,FALSE)*Table82[[#This Row],[% Creature Fails w/ ADV]])+(0.05*VLOOKUP(Table82[[#This Row],[Move Name]],Table70[[Move Name]:[Average Damage]],14,FALSE)*2),"")</f>
        <v/>
      </c>
      <c r="H49" s="48" t="str">
        <f>IFERROR(VLOOKUP(VLOOKUP(Table82[[#This Row],[Move Name]],Table70[[Move Name]:[Save DC]],6,FALSE)-VLOOKUP('Facade Dashboard'!$B$22,'Rules of the Game'!$V$3:$AJ$14,MATCH(VLOOKUP(Table82[[#This Row],[Move Name]],Table70[[Move Name]:[Save Type]],5,FALSE),Enemies[#Headers],0),FALSE),'Rules of the Game'!$G$88:$T$108,10,FALSE),"")</f>
        <v/>
      </c>
      <c r="I49" t="str">
        <f>IFERROR((VLOOKUP(Table82[[#This Row],[Move Name]],Table70[[Move Name]:[Average Damage]],14,FALSE)*Table82[[#This Row],[% Creature Fails with DIS]])+(0.05*VLOOKUP(Table82[[#This Row],[Move Name]],Table70[[Move Name]:[Average Damage]],14,FALSE)*2),"")</f>
        <v/>
      </c>
      <c r="K49" t="s">
        <v>546</v>
      </c>
      <c r="L49" t="s">
        <v>513</v>
      </c>
      <c r="M49" t="s">
        <v>651</v>
      </c>
      <c r="N49" t="s">
        <v>418</v>
      </c>
      <c r="O49" t="s">
        <v>422</v>
      </c>
    </row>
    <row r="50" spans="1:15" x14ac:dyDescent="0.35">
      <c r="A50" s="46">
        <v>7</v>
      </c>
      <c r="B50" t="str">
        <f>IFERROR(IF(VLOOKUP(CONCATENATE($B$20,Table82[[#This Row],[Number ]]),Table70[[Move Number]:[Attack Roll or Save]],3,FALSE)="Attack Roll"," ",VLOOKUP(CONCATENATE($B$20,Table82[[#This Row],[Number ]]),Table70[[Move Number]:[Move Name]],2,FALSE))," ")</f>
        <v>Mind Sliver</v>
      </c>
      <c r="C50" s="21">
        <f>IFERROR(VLOOKUP(VLOOKUP(Table82[[#This Row],[Move Name]],Table70[[Move Name]:[Save DC]],6,FALSE)-VLOOKUP('Facade Dashboard'!$B$22,'Rules of the Game'!$V$3:$AJ$14,MATCH(VLOOKUP(Table82[[#This Row],[Move Name]],Table70[[Move Name]:[Save Type]],5,FALSE),Enemies[#Headers],0),FALSE),'Rules of the Game'!$G$88:$T$108,4,FALSE),"")</f>
        <v>0.70000000000000007</v>
      </c>
      <c r="D50">
        <f>IFERROR((VLOOKUP(Table82[[#This Row],[Move Name]],Table70[[Move Name]:[Average Damage]],14,FALSE)*Table82[[#This Row],[% Creature Fails]])+(0.05*VLOOKUP(Table82[[#This Row],[Move Name]],Table70[[Move Name]:[Average Damage]],14,FALSE)*2),"")</f>
        <v>9.6000000000000014</v>
      </c>
      <c r="E50" s="48">
        <f>IFERROR(VLOOKUP(VLOOKUP(Table82[[#This Row],[Move Name]],Table70[[Move Name]:[Save DC]],6,FALSE)-VLOOKUP('Facade Dashboard'!$B$22,'Rules of the Game'!$V$3:$AJ$14,MATCH(VLOOKUP(Table82[[#This Row],[Move Name]],Table70[[Move Name]:[Save Type]],5,FALSE),Enemies[#Headers],0),FALSE),'Rules of the Game'!$G$88:$T$108,7,FALSE),"")</f>
        <v>0.49</v>
      </c>
      <c r="G50">
        <f>IFERROR((VLOOKUP(Table82[[#This Row],[Move Name]],Table70[[Move Name]:[Average Damage]],14,FALSE)*Table82[[#This Row],[% Creature Fails w/ ADV]])+(0.05*VLOOKUP(Table82[[#This Row],[Move Name]],Table70[[Move Name]:[Average Damage]],14,FALSE)*2),"")</f>
        <v>7.08</v>
      </c>
      <c r="H50" s="48">
        <f>IFERROR(VLOOKUP(VLOOKUP(Table82[[#This Row],[Move Name]],Table70[[Move Name]:[Save DC]],6,FALSE)-VLOOKUP('Facade Dashboard'!$B$22,'Rules of the Game'!$V$3:$AJ$14,MATCH(VLOOKUP(Table82[[#This Row],[Move Name]],Table70[[Move Name]:[Save Type]],5,FALSE),Enemies[#Headers],0),FALSE),'Rules of the Game'!$G$88:$T$108,10,FALSE),"")</f>
        <v>0.91000000000000014</v>
      </c>
      <c r="I50" s="49">
        <f>IFERROR((VLOOKUP(Table82[[#This Row],[Move Name]],Table70[[Move Name]:[Average Damage]],14,FALSE)*Table82[[#This Row],[% Creature Fails with DIS]])+(0.05*VLOOKUP(Table82[[#This Row],[Move Name]],Table70[[Move Name]:[Average Damage]],14,FALSE)*2),"")</f>
        <v>12.120000000000001</v>
      </c>
      <c r="K50">
        <v>1</v>
      </c>
      <c r="L50" t="str">
        <f>IFERROR(IF(VLOOKUP(CONCATENATE($B$22,Table101[[#This Row],[Number]]),Table100[[Move Number]:[Attack Roll or Save]],3,FALSE)="Attack Roll","",VLOOKUP(CONCATENATE($B$22,Table101[[#This Row],[Number]]),Table100[[Move Number]:[Move Name]],2,FALSE)),"")</f>
        <v/>
      </c>
      <c r="M50" s="21" t="str">
        <f>IFERROR(VLOOKUP(VLOOKUP(Table101[[#This Row],[Move Name]],Table100[[Move Name]:[Save DC]],6,FALSE)-VLOOKUP('Facade Dashboard'!$B$20,Table66[],MATCH(VLOOKUP(Table101[[#This Row],[Move Name]],Table100[[Move Name]:[Save Type]],5,FALSE),Table66[#Headers],0),FALSE),Probability[],4,FALSE),"")</f>
        <v/>
      </c>
      <c r="N50" s="21" t="str">
        <f>IFERROR(VLOOKUP(VLOOKUP(Table101[[#This Row],[Move Name]],Table100[[Move Name]:[Save DC]],6,FALSE)-VLOOKUP('Facade Dashboard'!$B$20,Table66[],MATCH(VLOOKUP(Table101[[#This Row],[Move Name]],Table100[[Move Name]:[Save Type]],5,FALSE),Table66[#Headers],0),FALSE),Probability[],10,FALSE),"")</f>
        <v/>
      </c>
      <c r="O50" s="21" t="str">
        <f>IFERROR(VLOOKUP(VLOOKUP(Table101[[#This Row],[Move Name]],Table100[[Move Name]:[Save DC]],6,FALSE)-VLOOKUP('Facade Dashboard'!$B$20,Table66[],MATCH(VLOOKUP(Table101[[#This Row],[Move Name]],Table100[[Move Name]:[Save Type]],5,FALSE),Table66[#Headers],0),FALSE),Probability[],7,FALSE),"")</f>
        <v/>
      </c>
    </row>
    <row r="51" spans="1:15" x14ac:dyDescent="0.35">
      <c r="A51" s="46">
        <v>8</v>
      </c>
      <c r="B51" t="str">
        <f>IFERROR(IF(VLOOKUP(CONCATENATE($B$20,Table82[[#This Row],[Number ]]),Table70[[Move Number]:[Attack Roll or Save]],3,FALSE)="Attack Roll"," ",VLOOKUP(CONCATENATE($B$20,Table82[[#This Row],[Number ]]),Table70[[Move Number]:[Move Name]],2,FALSE))," ")</f>
        <v xml:space="preserve"> </v>
      </c>
      <c r="C51" s="21" t="str">
        <f>IFERROR(VLOOKUP(VLOOKUP(Table82[[#This Row],[Move Name]],Table70[[Move Name]:[Save DC]],6,FALSE)-VLOOKUP('Facade Dashboard'!$B$22,'Rules of the Game'!$V$3:$AJ$14,MATCH(VLOOKUP(Table82[[#This Row],[Move Name]],Table70[[Move Name]:[Save Type]],5,FALSE),Enemies[#Headers],0),FALSE),'Rules of the Game'!$G$88:$T$108,4,FALSE),"")</f>
        <v/>
      </c>
      <c r="D51" t="str">
        <f>IFERROR((VLOOKUP(Table82[[#This Row],[Move Name]],Table70[[Move Name]:[Average Damage]],14,FALSE)*Table82[[#This Row],[% Creature Fails]])+(0.05*VLOOKUP(Table82[[#This Row],[Move Name]],Table70[[Move Name]:[Average Damage]],14,FALSE)*2),"")</f>
        <v/>
      </c>
      <c r="E51" s="48" t="str">
        <f>IFERROR(VLOOKUP(VLOOKUP(Table82[[#This Row],[Move Name]],Table70[[Move Name]:[Save DC]],6,FALSE)-VLOOKUP('Facade Dashboard'!$B$22,'Rules of the Game'!$V$3:$AJ$14,MATCH(VLOOKUP(Table82[[#This Row],[Move Name]],Table70[[Move Name]:[Save Type]],5,FALSE),Enemies[#Headers],0),FALSE),'Rules of the Game'!$G$88:$T$108,7,FALSE),"")</f>
        <v/>
      </c>
      <c r="G51" s="49" t="str">
        <f>IFERROR((VLOOKUP(Table82[[#This Row],[Move Name]],Table70[[Move Name]:[Average Damage]],14,FALSE)*Table82[[#This Row],[% Creature Fails w/ ADV]])+(0.05*VLOOKUP(Table82[[#This Row],[Move Name]],Table70[[Move Name]:[Average Damage]],14,FALSE)*2),"")</f>
        <v/>
      </c>
      <c r="H51" s="48" t="str">
        <f>IFERROR(VLOOKUP(VLOOKUP(Table82[[#This Row],[Move Name]],Table70[[Move Name]:[Save DC]],6,FALSE)-VLOOKUP('Facade Dashboard'!$B$22,'Rules of the Game'!$V$3:$AJ$14,MATCH(VLOOKUP(Table82[[#This Row],[Move Name]],Table70[[Move Name]:[Save Type]],5,FALSE),Enemies[#Headers],0),FALSE),'Rules of the Game'!$G$88:$T$108,10,FALSE),"")</f>
        <v/>
      </c>
      <c r="I51" s="49" t="str">
        <f>IFERROR((VLOOKUP(Table82[[#This Row],[Move Name]],Table70[[Move Name]:[Average Damage]],14,FALSE)*Table82[[#This Row],[% Creature Fails with DIS]])+(0.05*VLOOKUP(Table82[[#This Row],[Move Name]],Table70[[Move Name]:[Average Damage]],14,FALSE)*2),"")</f>
        <v/>
      </c>
      <c r="K51">
        <v>2</v>
      </c>
      <c r="L51" t="str">
        <f>IFERROR(IF(VLOOKUP(CONCATENATE($B$22,Table101[[#This Row],[Number]]),Table100[[Move Number]:[Attack Roll or Save]],3,FALSE)="Attack Roll","",VLOOKUP(CONCATENATE($B$22,Table101[[#This Row],[Number]]),Table100[[Move Number]:[Move Name]],2,FALSE)),"")</f>
        <v/>
      </c>
      <c r="M51" s="21" t="str">
        <f>IFERROR(VLOOKUP(VLOOKUP(Table101[[#This Row],[Move Name]],Table100[[Move Name]:[Save DC]],6,FALSE)-VLOOKUP('Facade Dashboard'!$B$20,Table66[],MATCH(VLOOKUP(Table101[[#This Row],[Move Name]],Table100[[Move Name]:[Save Type]],5,FALSE),Table66[#Headers],0),FALSE),Probability[],4,FALSE),"")</f>
        <v/>
      </c>
      <c r="N51" s="21" t="str">
        <f>IFERROR(VLOOKUP(VLOOKUP(Table101[[#This Row],[Move Name]],Table100[[Move Name]:[Save DC]],6,FALSE)-VLOOKUP('Facade Dashboard'!$B$20,Table66[],MATCH(VLOOKUP(Table101[[#This Row],[Move Name]],Table100[[Move Name]:[Save Type]],5,FALSE),Table66[#Headers],0),FALSE),Probability[],10,FALSE),"")</f>
        <v/>
      </c>
      <c r="O51" s="21" t="str">
        <f>IFERROR(VLOOKUP(VLOOKUP(Table101[[#This Row],[Move Name]],Table100[[Move Name]:[Save DC]],6,FALSE)-VLOOKUP('Facade Dashboard'!$B$20,Table66[],MATCH(VLOOKUP(Table101[[#This Row],[Move Name]],Table100[[Move Name]:[Save Type]],5,FALSE),Table66[#Headers],0),FALSE),Probability[],7,FALSE),"")</f>
        <v/>
      </c>
    </row>
    <row r="52" spans="1:15" x14ac:dyDescent="0.35">
      <c r="A52" s="46">
        <v>9</v>
      </c>
      <c r="B52" t="str">
        <f>IFERROR(IF(VLOOKUP(CONCATENATE($B$20,Table82[[#This Row],[Number ]]),Table70[[Move Number]:[Attack Roll or Save]],3,FALSE)="Attack Roll"," ",VLOOKUP(CONCATENATE($B$20,Table82[[#This Row],[Number ]]),Table70[[Move Number]:[Move Name]],2,FALSE))," ")</f>
        <v xml:space="preserve"> </v>
      </c>
      <c r="C52" s="21" t="str">
        <f>IFERROR(VLOOKUP(VLOOKUP(Table82[[#This Row],[Move Name]],Table70[[Move Name]:[Save DC]],6,FALSE)-VLOOKUP('Facade Dashboard'!$B$22,'Rules of the Game'!$V$3:$AJ$14,MATCH(VLOOKUP(Table82[[#This Row],[Move Name]],Table70[[Move Name]:[Save Type]],5,FALSE),Enemies[#Headers],0),FALSE),'Rules of the Game'!$G$88:$T$108,4,FALSE),"")</f>
        <v/>
      </c>
      <c r="D52" t="str">
        <f>IFERROR((VLOOKUP(Table82[[#This Row],[Move Name]],Table70[[Move Name]:[Average Damage]],14,FALSE)*Table82[[#This Row],[% Creature Fails]])+(0.05*VLOOKUP(Table82[[#This Row],[Move Name]],Table70[[Move Name]:[Average Damage]],14,FALSE)*2),"")</f>
        <v/>
      </c>
      <c r="E52" s="48" t="str">
        <f>IFERROR(VLOOKUP(VLOOKUP(Table82[[#This Row],[Move Name]],Table70[[Move Name]:[Save DC]],6,FALSE)-VLOOKUP('Facade Dashboard'!$B$22,'Rules of the Game'!$V$3:$AJ$14,MATCH(VLOOKUP(Table82[[#This Row],[Move Name]],Table70[[Move Name]:[Save Type]],5,FALSE),Enemies[#Headers],0),FALSE),'Rules of the Game'!$G$88:$T$108,7,FALSE),"")</f>
        <v/>
      </c>
      <c r="G52" t="str">
        <f>IFERROR((VLOOKUP(Table82[[#This Row],[Move Name]],Table70[[Move Name]:[Average Damage]],14,FALSE)*Table82[[#This Row],[% Creature Fails w/ ADV]])+(0.05*VLOOKUP(Table82[[#This Row],[Move Name]],Table70[[Move Name]:[Average Damage]],14,FALSE)*2),"")</f>
        <v/>
      </c>
      <c r="H52" s="48" t="str">
        <f>IFERROR(VLOOKUP(VLOOKUP(Table82[[#This Row],[Move Name]],Table70[[Move Name]:[Save DC]],6,FALSE)-VLOOKUP('Facade Dashboard'!$B$22,'Rules of the Game'!$V$3:$AJ$14,MATCH(VLOOKUP(Table82[[#This Row],[Move Name]],Table70[[Move Name]:[Save Type]],5,FALSE),Enemies[#Headers],0),FALSE),'Rules of the Game'!$G$88:$T$108,10,FALSE),"")</f>
        <v/>
      </c>
      <c r="I52" t="str">
        <f>IFERROR((VLOOKUP(Table82[[#This Row],[Move Name]],Table70[[Move Name]:[Average Damage]],14,FALSE)*Table82[[#This Row],[% Creature Fails with DIS]])+(0.05*VLOOKUP(Table82[[#This Row],[Move Name]],Table70[[Move Name]:[Average Damage]],14,FALSE)*2),"")</f>
        <v/>
      </c>
      <c r="K52">
        <v>3</v>
      </c>
      <c r="L52" t="str">
        <f>IFERROR(IF(VLOOKUP(CONCATENATE($B$22,Table101[[#This Row],[Number]]),Table100[[Move Number]:[Attack Roll or Save]],3,FALSE)="Attack Roll","",VLOOKUP(CONCATENATE($B$22,Table101[[#This Row],[Number]]),Table100[[Move Number]:[Move Name]],2,FALSE)),"")</f>
        <v>Mind Blast</v>
      </c>
      <c r="M52" s="21">
        <f>IFERROR(VLOOKUP(VLOOKUP(Table101[[#This Row],[Move Name]],Table100[[Move Name]:[Save DC]],6,FALSE)-VLOOKUP('Facade Dashboard'!$B$20,Table66[],MATCH(VLOOKUP(Table101[[#This Row],[Move Name]],Table100[[Move Name]:[Save Type]],5,FALSE),Table66[#Headers],0),FALSE),Probability[],4,FALSE),"")</f>
        <v>0.1</v>
      </c>
      <c r="N52" s="21">
        <f>IFERROR(VLOOKUP(VLOOKUP(Table101[[#This Row],[Move Name]],Table100[[Move Name]:[Save DC]],6,FALSE)-VLOOKUP('Facade Dashboard'!$B$20,Table66[],MATCH(VLOOKUP(Table101[[#This Row],[Move Name]],Table100[[Move Name]:[Save Type]],5,FALSE),Table66[#Headers],0),FALSE),Probability[],10,FALSE),"")</f>
        <v>0.19</v>
      </c>
      <c r="O52" s="21">
        <f>IFERROR(VLOOKUP(VLOOKUP(Table101[[#This Row],[Move Name]],Table100[[Move Name]:[Save DC]],6,FALSE)-VLOOKUP('Facade Dashboard'!$B$20,Table66[],MATCH(VLOOKUP(Table101[[#This Row],[Move Name]],Table100[[Move Name]:[Save Type]],5,FALSE),Table66[#Headers],0),FALSE),Probability[],7,FALSE),"")</f>
        <v>0.01</v>
      </c>
    </row>
    <row r="53" spans="1:15" x14ac:dyDescent="0.35">
      <c r="A53" s="46">
        <v>10</v>
      </c>
      <c r="B53" t="str">
        <f>IFERROR(IF(VLOOKUP(CONCATENATE($B$20,Table82[[#This Row],[Number ]]),Table70[[Move Number]:[Attack Roll or Save]],3,FALSE)="Attack Roll"," ",VLOOKUP(CONCATENATE($B$20,Table82[[#This Row],[Number ]]),Table70[[Move Number]:[Move Name]],2,FALSE))," ")</f>
        <v xml:space="preserve"> </v>
      </c>
      <c r="C53" s="21" t="str">
        <f>IFERROR(VLOOKUP(VLOOKUP(Table82[[#This Row],[Move Name]],Table70[[Move Name]:[Save DC]],6,FALSE)-VLOOKUP('Facade Dashboard'!$B$22,'Rules of the Game'!$V$3:$AJ$14,MATCH(VLOOKUP(Table82[[#This Row],[Move Name]],Table70[[Move Name]:[Save Type]],5,FALSE),Enemies[#Headers],0),FALSE),'Rules of the Game'!$G$88:$T$108,4,FALSE),"")</f>
        <v/>
      </c>
      <c r="D53" t="str">
        <f>IFERROR((VLOOKUP(Table82[[#This Row],[Move Name]],Table70[[Move Name]:[Average Damage]],14,FALSE)*Table82[[#This Row],[% Creature Fails]])+(0.05*VLOOKUP(Table82[[#This Row],[Move Name]],Table70[[Move Name]:[Average Damage]],14,FALSE)*2),"")</f>
        <v/>
      </c>
      <c r="E53" s="48" t="str">
        <f>IFERROR(VLOOKUP(VLOOKUP(Table82[[#This Row],[Move Name]],Table70[[Move Name]:[Save DC]],6,FALSE)-VLOOKUP('Facade Dashboard'!$B$22,'Rules of the Game'!$V$3:$AJ$14,MATCH(VLOOKUP(Table82[[#This Row],[Move Name]],Table70[[Move Name]:[Save Type]],5,FALSE),Enemies[#Headers],0),FALSE),'Rules of the Game'!$G$88:$T$108,7,FALSE),"")</f>
        <v/>
      </c>
      <c r="G53" t="str">
        <f>IFERROR((VLOOKUP(Table82[[#This Row],[Move Name]],Table70[[Move Name]:[Average Damage]],14,FALSE)*Table82[[#This Row],[% Creature Fails w/ ADV]])+(0.05*VLOOKUP(Table82[[#This Row],[Move Name]],Table70[[Move Name]:[Average Damage]],14,FALSE)*2),"")</f>
        <v/>
      </c>
      <c r="H53" s="48" t="str">
        <f>IFERROR(VLOOKUP(VLOOKUP(Table82[[#This Row],[Move Name]],Table70[[Move Name]:[Save DC]],6,FALSE)-VLOOKUP('Facade Dashboard'!$B$22,'Rules of the Game'!$V$3:$AJ$14,MATCH(VLOOKUP(Table82[[#This Row],[Move Name]],Table70[[Move Name]:[Save Type]],5,FALSE),Enemies[#Headers],0),FALSE),'Rules of the Game'!$G$88:$T$108,10,FALSE),"")</f>
        <v/>
      </c>
      <c r="I53" t="str">
        <f>IFERROR((VLOOKUP(Table82[[#This Row],[Move Name]],Table70[[Move Name]:[Average Damage]],14,FALSE)*Table82[[#This Row],[% Creature Fails with DIS]])+(0.05*VLOOKUP(Table82[[#This Row],[Move Name]],Table70[[Move Name]:[Average Damage]],14,FALSE)*2),"")</f>
        <v/>
      </c>
      <c r="K53">
        <v>4</v>
      </c>
      <c r="L53" t="str">
        <f>IFERROR(IF(VLOOKUP(CONCATENATE($B$22,Table101[[#This Row],[Number]]),Table100[[Move Number]:[Attack Roll or Save]],3,FALSE)="Attack Roll","",VLOOKUP(CONCATENATE($B$22,Table101[[#This Row],[Number]]),Table100[[Move Number]:[Move Name]],2,FALSE)),"")</f>
        <v>Dominate Monster</v>
      </c>
      <c r="M53" s="21">
        <f>IFERROR(VLOOKUP(VLOOKUP(Table101[[#This Row],[Move Name]],Table100[[Move Name]:[Save DC]],6,FALSE)-VLOOKUP('Facade Dashboard'!$B$20,Table66[],MATCH(VLOOKUP(Table101[[#This Row],[Move Name]],Table100[[Move Name]:[Save Type]],5,FALSE),Table66[#Headers],0),FALSE),Probability[],4,FALSE),"")</f>
        <v>0.35</v>
      </c>
      <c r="N53" s="21">
        <f>IFERROR(VLOOKUP(VLOOKUP(Table101[[#This Row],[Move Name]],Table100[[Move Name]:[Save DC]],6,FALSE)-VLOOKUP('Facade Dashboard'!$B$20,Table66[],MATCH(VLOOKUP(Table101[[#This Row],[Move Name]],Table100[[Move Name]:[Save Type]],5,FALSE),Table66[#Headers],0),FALSE),Probability[],10,FALSE),"")</f>
        <v>0.57750000000000012</v>
      </c>
      <c r="O53" s="21">
        <f>IFERROR(VLOOKUP(VLOOKUP(Table101[[#This Row],[Move Name]],Table100[[Move Name]:[Save DC]],6,FALSE)-VLOOKUP('Facade Dashboard'!$B$20,Table66[],MATCH(VLOOKUP(Table101[[#This Row],[Move Name]],Table100[[Move Name]:[Save Type]],5,FALSE),Table66[#Headers],0),FALSE),Probability[],7,FALSE),"")</f>
        <v>0.1225</v>
      </c>
    </row>
    <row r="54" spans="1:15" x14ac:dyDescent="0.35">
      <c r="A54" s="46">
        <v>11</v>
      </c>
      <c r="B54" t="str">
        <f>IFERROR(IF(VLOOKUP(CONCATENATE($B$20,Table82[[#This Row],[Number ]]),Table70[[Move Number]:[Attack Roll or Save]],3,FALSE)="Attack Roll"," ",VLOOKUP(CONCATENATE($B$20,Table82[[#This Row],[Number ]]),Table70[[Move Number]:[Move Name]],2,FALSE))," ")</f>
        <v xml:space="preserve"> </v>
      </c>
      <c r="C54" s="21" t="str">
        <f>IFERROR(VLOOKUP(VLOOKUP(Table82[[#This Row],[Move Name]],Table70[[Move Name]:[Save DC]],6,FALSE)-VLOOKUP('Facade Dashboard'!$B$22,'Rules of the Game'!$V$3:$AJ$14,MATCH(VLOOKUP(Table82[[#This Row],[Move Name]],Table70[[Move Name]:[Save Type]],5,FALSE),Enemies[#Headers],0),FALSE),'Rules of the Game'!$G$88:$T$108,4,FALSE),"")</f>
        <v/>
      </c>
      <c r="D54" t="str">
        <f>IFERROR((VLOOKUP(Table82[[#This Row],[Move Name]],Table70[[Move Name]:[Average Damage]],14,FALSE)*Table82[[#This Row],[% Creature Fails]])+(0.05*VLOOKUP(Table82[[#This Row],[Move Name]],Table70[[Move Name]:[Average Damage]],14,FALSE)*2),"")</f>
        <v/>
      </c>
      <c r="E54" s="48" t="str">
        <f>IFERROR(VLOOKUP(VLOOKUP(Table82[[#This Row],[Move Name]],Table70[[Move Name]:[Save DC]],6,FALSE)-VLOOKUP('Facade Dashboard'!$B$22,'Rules of the Game'!$V$3:$AJ$14,MATCH(VLOOKUP(Table82[[#This Row],[Move Name]],Table70[[Move Name]:[Save Type]],5,FALSE),Enemies[#Headers],0),FALSE),'Rules of the Game'!$G$88:$T$108,7,FALSE),"")</f>
        <v/>
      </c>
      <c r="G54" t="str">
        <f>IFERROR((VLOOKUP(Table82[[#This Row],[Move Name]],Table70[[Move Name]:[Average Damage]],14,FALSE)*Table82[[#This Row],[% Creature Fails w/ ADV]])+(0.05*VLOOKUP(Table82[[#This Row],[Move Name]],Table70[[Move Name]:[Average Damage]],14,FALSE)*2),"")</f>
        <v/>
      </c>
      <c r="H54" s="48" t="str">
        <f>IFERROR(VLOOKUP(VLOOKUP(Table82[[#This Row],[Move Name]],Table70[[Move Name]:[Save DC]],6,FALSE)-VLOOKUP('Facade Dashboard'!$B$22,'Rules of the Game'!$V$3:$AJ$14,MATCH(VLOOKUP(Table82[[#This Row],[Move Name]],Table70[[Move Name]:[Save Type]],5,FALSE),Enemies[#Headers],0),FALSE),'Rules of the Game'!$G$88:$T$108,10,FALSE),"")</f>
        <v/>
      </c>
      <c r="I54" t="str">
        <f>IFERROR((VLOOKUP(Table82[[#This Row],[Move Name]],Table70[[Move Name]:[Average Damage]],14,FALSE)*Table82[[#This Row],[% Creature Fails with DIS]])+(0.05*VLOOKUP(Table82[[#This Row],[Move Name]],Table70[[Move Name]:[Average Damage]],14,FALSE)*2),"")</f>
        <v/>
      </c>
      <c r="K54">
        <v>5</v>
      </c>
      <c r="L54" t="str">
        <f>IFERROR(IF(VLOOKUP(CONCATENATE($B$22,Table101[[#This Row],[Number]]),Table100[[Move Number]:[Attack Roll or Save]],3,FALSE)="Attack Roll","",VLOOKUP(CONCATENATE($B$22,Table101[[#This Row],[Number]]),Table100[[Move Number]:[Move Name]],2,FALSE)),"")</f>
        <v/>
      </c>
      <c r="M54" s="21" t="str">
        <f>IFERROR(VLOOKUP(VLOOKUP(Table101[[#This Row],[Move Name]],Table100[[Move Name]:[Save DC]],6,FALSE)-VLOOKUP('Facade Dashboard'!$B$20,Table66[],MATCH(VLOOKUP(Table101[[#This Row],[Move Name]],Table100[[Move Name]:[Save Type]],5,FALSE),Table66[#Headers],0),FALSE),Probability[],4,FALSE),"")</f>
        <v/>
      </c>
      <c r="N54" s="21" t="str">
        <f>IFERROR(VLOOKUP(VLOOKUP(Table101[[#This Row],[Move Name]],Table100[[Move Name]:[Save DC]],6,FALSE)-VLOOKUP('Facade Dashboard'!$B$20,Table66[],MATCH(VLOOKUP(Table101[[#This Row],[Move Name]],Table100[[Move Name]:[Save Type]],5,FALSE),Table66[#Headers],0),FALSE),Probability[],10,FALSE),"")</f>
        <v/>
      </c>
      <c r="O54" s="21" t="str">
        <f>IFERROR(VLOOKUP(VLOOKUP(Table101[[#This Row],[Move Name]],Table100[[Move Name]:[Save DC]],6,FALSE)-VLOOKUP('Facade Dashboard'!$B$20,Table66[],MATCH(VLOOKUP(Table101[[#This Row],[Move Name]],Table100[[Move Name]:[Save Type]],5,FALSE),Table66[#Headers],0),FALSE),Probability[],7,FALSE),"")</f>
        <v/>
      </c>
    </row>
    <row r="55" spans="1:15" x14ac:dyDescent="0.35">
      <c r="A55" s="46">
        <v>12</v>
      </c>
      <c r="B55" t="str">
        <f>IFERROR(IF(VLOOKUP(CONCATENATE($B$20,Table82[[#This Row],[Number ]]),Table70[[Move Number]:[Attack Roll or Save]],3,FALSE)="Attack Roll"," ",VLOOKUP(CONCATENATE($B$20,Table82[[#This Row],[Number ]]),Table70[[Move Number]:[Move Name]],2,FALSE))," ")</f>
        <v xml:space="preserve"> </v>
      </c>
      <c r="C55" s="21" t="str">
        <f>IFERROR(VLOOKUP(VLOOKUP(Table82[[#This Row],[Move Name]],Table70[[Move Name]:[Save DC]],6,FALSE)-VLOOKUP('Facade Dashboard'!$B$22,'Rules of the Game'!$V$3:$AJ$14,MATCH(VLOOKUP(Table82[[#This Row],[Move Name]],Table70[[Move Name]:[Save Type]],5,FALSE),Enemies[#Headers],0),FALSE),'Rules of the Game'!$G$88:$T$108,4,FALSE),"")</f>
        <v/>
      </c>
      <c r="D55" t="str">
        <f>IFERROR((VLOOKUP(Table82[[#This Row],[Move Name]],Table70[[Move Name]:[Average Damage]],14,FALSE)*Table82[[#This Row],[% Creature Fails]])+(0.05*VLOOKUP(Table82[[#This Row],[Move Name]],Table70[[Move Name]:[Average Damage]],14,FALSE)*2),"")</f>
        <v/>
      </c>
      <c r="E55" s="48" t="str">
        <f>IFERROR(VLOOKUP(VLOOKUP(Table82[[#This Row],[Move Name]],Table70[[Move Name]:[Save DC]],6,FALSE)-VLOOKUP('Facade Dashboard'!$B$22,'Rules of the Game'!$V$3:$AJ$14,MATCH(VLOOKUP(Table82[[#This Row],[Move Name]],Table70[[Move Name]:[Save Type]],5,FALSE),Enemies[#Headers],0),FALSE),'Rules of the Game'!$G$88:$T$108,7,FALSE),"")</f>
        <v/>
      </c>
      <c r="G55" t="str">
        <f>IFERROR((VLOOKUP(Table82[[#This Row],[Move Name]],Table70[[Move Name]:[Average Damage]],14,FALSE)*Table82[[#This Row],[% Creature Fails w/ ADV]])+(0.05*VLOOKUP(Table82[[#This Row],[Move Name]],Table70[[Move Name]:[Average Damage]],14,FALSE)*2),"")</f>
        <v/>
      </c>
      <c r="H55" s="48" t="str">
        <f>IFERROR(VLOOKUP(VLOOKUP(Table82[[#This Row],[Move Name]],Table70[[Move Name]:[Save DC]],6,FALSE)-VLOOKUP('Facade Dashboard'!$B$22,'Rules of the Game'!$V$3:$AJ$14,MATCH(VLOOKUP(Table82[[#This Row],[Move Name]],Table70[[Move Name]:[Save Type]],5,FALSE),Enemies[#Headers],0),FALSE),'Rules of the Game'!$G$88:$T$108,10,FALSE),"")</f>
        <v/>
      </c>
      <c r="I55" t="str">
        <f>IFERROR((VLOOKUP(Table82[[#This Row],[Move Name]],Table70[[Move Name]:[Average Damage]],14,FALSE)*Table82[[#This Row],[% Creature Fails with DIS]])+(0.05*VLOOKUP(Table82[[#This Row],[Move Name]],Table70[[Move Name]:[Average Damage]],14,FALSE)*2),"")</f>
        <v/>
      </c>
      <c r="K55">
        <v>6</v>
      </c>
      <c r="L55" s="2" t="str">
        <f>IFERROR(IF(VLOOKUP(CONCATENATE($B$22,Table101[[#This Row],[Number]]),Table100[[Move Number]:[Attack Roll or Save]],3,FALSE)="Attack Roll","",VLOOKUP(CONCATENATE($B$22,Table101[[#This Row],[Number]]),Table100[[Move Number]:[Move Name]],2,FALSE)),"")</f>
        <v/>
      </c>
      <c r="M55" s="58" t="str">
        <f>IFERROR(VLOOKUP(VLOOKUP(Table101[[#This Row],[Move Name]],Table100[[Move Name]:[Save DC]],6,FALSE)-VLOOKUP('Facade Dashboard'!$B$20,Table66[],MATCH(VLOOKUP(Table101[[#This Row],[Move Name]],Table100[[Move Name]:[Save Type]],5,FALSE),Table66[#Headers],0),FALSE),Probability[],4,FALSE),"")</f>
        <v/>
      </c>
      <c r="N55" s="21" t="str">
        <f>IFERROR(VLOOKUP(VLOOKUP(Table101[[#This Row],[Move Name]],Table100[[Move Name]:[Save DC]],6,FALSE)-VLOOKUP('Facade Dashboard'!$B$20,Table66[],MATCH(VLOOKUP(Table101[[#This Row],[Move Name]],Table100[[Move Name]:[Save Type]],5,FALSE),Table66[#Headers],0),FALSE),Probability[],10,FALSE),"")</f>
        <v/>
      </c>
      <c r="O55" s="21" t="str">
        <f>IFERROR(VLOOKUP(VLOOKUP(Table101[[#This Row],[Move Name]],Table100[[Move Name]:[Save DC]],6,FALSE)-VLOOKUP('Facade Dashboard'!$B$20,Table66[],MATCH(VLOOKUP(Table101[[#This Row],[Move Name]],Table100[[Move Name]:[Save Type]],5,FALSE),Table66[#Headers],0),FALSE),Probability[],7,FALSE),"")</f>
        <v/>
      </c>
    </row>
    <row r="56" spans="1:15" x14ac:dyDescent="0.35">
      <c r="A56" s="46">
        <v>13</v>
      </c>
      <c r="B56" s="2" t="str">
        <f>IFERROR(IF(VLOOKUP(CONCATENATE($B$20,Table82[[#This Row],[Number ]]),Table70[[Move Number]:[Attack Roll or Save]],3,FALSE)="Attack Roll"," ",VLOOKUP(CONCATENATE($B$20,Table82[[#This Row],[Number ]]),Table70[[Move Number]:[Move Name]],2,FALSE))," ")</f>
        <v xml:space="preserve"> </v>
      </c>
      <c r="C56" s="21" t="str">
        <f>IFERROR(VLOOKUP(VLOOKUP(Table82[[#This Row],[Move Name]],Table70[[Move Name]:[Save DC]],6,FALSE)-VLOOKUP('Facade Dashboard'!$B$22,'Rules of the Game'!$V$3:$AJ$14,MATCH(VLOOKUP(Table82[[#This Row],[Move Name]],Table70[[Move Name]:[Save Type]],5,FALSE),Enemies[#Headers],0),FALSE),'Rules of the Game'!$G$88:$T$108,4,FALSE),"")</f>
        <v/>
      </c>
      <c r="D56" s="2" t="str">
        <f>IFERROR((VLOOKUP(Table82[[#This Row],[Move Name]],Table70[[Move Name]:[Average Damage]],14,FALSE)*Table82[[#This Row],[% Creature Fails]])+(0.05*VLOOKUP(Table82[[#This Row],[Move Name]],Table70[[Move Name]:[Average Damage]],14,FALSE)*2),"")</f>
        <v/>
      </c>
      <c r="E56" s="48" t="str">
        <f>IFERROR(VLOOKUP(VLOOKUP(Table82[[#This Row],[Move Name]],Table70[[Move Name]:[Save DC]],6,FALSE)-VLOOKUP('Facade Dashboard'!$B$22,'Rules of the Game'!$V$3:$AJ$14,MATCH(VLOOKUP(Table82[[#This Row],[Move Name]],Table70[[Move Name]:[Save Type]],5,FALSE),Enemies[#Headers],0),FALSE),'Rules of the Game'!$G$88:$T$108,7,FALSE),"")</f>
        <v/>
      </c>
      <c r="G56" t="str">
        <f>IFERROR((VLOOKUP(Table82[[#This Row],[Move Name]],Table70[[Move Name]:[Average Damage]],14,FALSE)*Table82[[#This Row],[% Creature Fails w/ ADV]])+(0.05*VLOOKUP(Table82[[#This Row],[Move Name]],Table70[[Move Name]:[Average Damage]],14,FALSE)*2),"")</f>
        <v/>
      </c>
      <c r="H56" s="48" t="str">
        <f>IFERROR(VLOOKUP(VLOOKUP(Table82[[#This Row],[Move Name]],Table70[[Move Name]:[Save DC]],6,FALSE)-VLOOKUP('Facade Dashboard'!$B$22,'Rules of the Game'!$V$3:$AJ$14,MATCH(VLOOKUP(Table82[[#This Row],[Move Name]],Table70[[Move Name]:[Save Type]],5,FALSE),Enemies[#Headers],0),FALSE),'Rules of the Game'!$G$88:$T$108,10,FALSE),"")</f>
        <v/>
      </c>
      <c r="I56" s="2" t="str">
        <f>IFERROR((VLOOKUP(Table82[[#This Row],[Move Name]],Table70[[Move Name]:[Average Damage]],14,FALSE)*Table82[[#This Row],[% Creature Fails with DIS]])+(0.05*VLOOKUP(Table82[[#This Row],[Move Name]],Table70[[Move Name]:[Average Damage]],14,FALSE)*2),"")</f>
        <v/>
      </c>
      <c r="K56">
        <v>7</v>
      </c>
      <c r="L56" s="2" t="str">
        <f>IFERROR(IF(VLOOKUP(CONCATENATE($B$22,Table101[[#This Row],[Number]]),Table100[[Move Number]:[Attack Roll or Save]],3,FALSE)="Attack Roll","",VLOOKUP(CONCATENATE($B$22,Table101[[#This Row],[Number]]),Table100[[Move Number]:[Move Name]],2,FALSE)),"")</f>
        <v/>
      </c>
      <c r="M56" s="58" t="str">
        <f>IFERROR(VLOOKUP(VLOOKUP(Table101[[#This Row],[Move Name]],Table100[[Move Name]:[Save DC]],6,FALSE)-VLOOKUP('Facade Dashboard'!$B$20,Table66[],MATCH(VLOOKUP(Table101[[#This Row],[Move Name]],Table100[[Move Name]:[Save Type]],5,FALSE),Table66[#Headers],0),FALSE),Probability[],4,FALSE),"")</f>
        <v/>
      </c>
      <c r="N56" s="21" t="str">
        <f>IFERROR(VLOOKUP(VLOOKUP(Table101[[#This Row],[Move Name]],Table100[[Move Name]:[Save DC]],6,FALSE)-VLOOKUP('Facade Dashboard'!$B$20,Table66[],MATCH(VLOOKUP(Table101[[#This Row],[Move Name]],Table100[[Move Name]:[Save Type]],5,FALSE),Table66[#Headers],0),FALSE),Probability[],10,FALSE),"")</f>
        <v/>
      </c>
      <c r="O56" s="21" t="str">
        <f>IFERROR(VLOOKUP(VLOOKUP(Table101[[#This Row],[Move Name]],Table100[[Move Name]:[Save DC]],6,FALSE)-VLOOKUP('Facade Dashboard'!$B$20,Table66[],MATCH(VLOOKUP(Table101[[#This Row],[Move Name]],Table100[[Move Name]:[Save Type]],5,FALSE),Table66[#Headers],0),FALSE),Probability[],7,FALSE),"")</f>
        <v/>
      </c>
    </row>
    <row r="57" spans="1:15" x14ac:dyDescent="0.35">
      <c r="A57" s="46">
        <v>14</v>
      </c>
      <c r="B57" s="2" t="str">
        <f>IFERROR(IF(VLOOKUP(CONCATENATE($B$20,Table82[[#This Row],[Number ]]),Table70[[Move Number]:[Attack Roll or Save]],3,FALSE)="Attack Roll"," ",VLOOKUP(CONCATENATE($B$20,Table82[[#This Row],[Number ]]),Table70[[Move Number]:[Move Name]],2,FALSE))," ")</f>
        <v xml:space="preserve"> </v>
      </c>
      <c r="C57" s="21" t="str">
        <f>IFERROR(VLOOKUP(VLOOKUP(Table82[[#This Row],[Move Name]],Table70[[Move Name]:[Save DC]],6,FALSE)-VLOOKUP('Facade Dashboard'!$B$22,'Rules of the Game'!$V$3:$AJ$14,MATCH(VLOOKUP(Table82[[#This Row],[Move Name]],Table70[[Move Name]:[Save Type]],5,FALSE),Enemies[#Headers],0),FALSE),'Rules of the Game'!$G$88:$T$108,4,FALSE),"")</f>
        <v/>
      </c>
      <c r="D57" s="2" t="str">
        <f>IFERROR((VLOOKUP(Table82[[#This Row],[Move Name]],Table70[[Move Name]:[Average Damage]],14,FALSE)*Table82[[#This Row],[% Creature Fails]])+(0.05*VLOOKUP(Table82[[#This Row],[Move Name]],Table70[[Move Name]:[Average Damage]],14,FALSE)*2),"")</f>
        <v/>
      </c>
      <c r="E57" s="48" t="str">
        <f>IFERROR(VLOOKUP(VLOOKUP(Table82[[#This Row],[Move Name]],Table70[[Move Name]:[Save DC]],6,FALSE)-VLOOKUP('Facade Dashboard'!$B$22,'Rules of the Game'!$V$3:$AJ$14,MATCH(VLOOKUP(Table82[[#This Row],[Move Name]],Table70[[Move Name]:[Save Type]],5,FALSE),Enemies[#Headers],0),FALSE),'Rules of the Game'!$G$88:$T$108,7,FALSE),"")</f>
        <v/>
      </c>
      <c r="G57" t="str">
        <f>IFERROR((VLOOKUP(Table82[[#This Row],[Move Name]],Table70[[Move Name]:[Average Damage]],14,FALSE)*Table82[[#This Row],[% Creature Fails w/ ADV]])+(0.05*VLOOKUP(Table82[[#This Row],[Move Name]],Table70[[Move Name]:[Average Damage]],14,FALSE)*2),"")</f>
        <v/>
      </c>
      <c r="H57" s="48" t="str">
        <f>IFERROR(VLOOKUP(VLOOKUP(Table82[[#This Row],[Move Name]],Table70[[Move Name]:[Save DC]],6,FALSE)-VLOOKUP('Facade Dashboard'!$B$22,'Rules of the Game'!$V$3:$AJ$14,MATCH(VLOOKUP(Table82[[#This Row],[Move Name]],Table70[[Move Name]:[Save Type]],5,FALSE),Enemies[#Headers],0),FALSE),'Rules of the Game'!$G$88:$T$108,10,FALSE),"")</f>
        <v/>
      </c>
      <c r="I57" s="2" t="str">
        <f>IFERROR((VLOOKUP(Table82[[#This Row],[Move Name]],Table70[[Move Name]:[Average Damage]],14,FALSE)*Table82[[#This Row],[% Creature Fails with DIS]])+(0.05*VLOOKUP(Table82[[#This Row],[Move Name]],Table70[[Move Name]:[Average Damage]],14,FALSE)*2),"")</f>
        <v/>
      </c>
      <c r="K57">
        <v>8</v>
      </c>
      <c r="L57" s="2" t="str">
        <f>IFERROR(IF(VLOOKUP(CONCATENATE($B$22,Table101[[#This Row],[Number]]),Table100[[Move Number]:[Attack Roll or Save]],3,FALSE)="Attack Roll","",VLOOKUP(CONCATENATE($B$22,Table101[[#This Row],[Number]]),Table100[[Move Number]:[Move Name]],2,FALSE)),"")</f>
        <v/>
      </c>
      <c r="M57" s="58" t="str">
        <f>IFERROR(VLOOKUP(VLOOKUP(Table101[[#This Row],[Move Name]],Table100[[Move Name]:[Save DC]],6,FALSE)-VLOOKUP('Facade Dashboard'!$B$20,Table66[],MATCH(VLOOKUP(Table101[[#This Row],[Move Name]],Table100[[Move Name]:[Save Type]],5,FALSE),Table66[#Headers],0),FALSE),Probability[],4,FALSE),"")</f>
        <v/>
      </c>
      <c r="N57" s="21" t="str">
        <f>IFERROR(VLOOKUP(VLOOKUP(Table101[[#This Row],[Move Name]],Table100[[Move Name]:[Save DC]],6,FALSE)-VLOOKUP('Facade Dashboard'!$B$20,Table66[],MATCH(VLOOKUP(Table101[[#This Row],[Move Name]],Table100[[Move Name]:[Save Type]],5,FALSE),Table66[#Headers],0),FALSE),Probability[],10,FALSE),"")</f>
        <v/>
      </c>
      <c r="O57" s="21" t="str">
        <f>IFERROR(VLOOKUP(VLOOKUP(Table101[[#This Row],[Move Name]],Table100[[Move Name]:[Save DC]],6,FALSE)-VLOOKUP('Facade Dashboard'!$B$20,Table66[],MATCH(VLOOKUP(Table101[[#This Row],[Move Name]],Table100[[Move Name]:[Save Type]],5,FALSE),Table66[#Headers],0),FALSE),Probability[],7,FALSE),"")</f>
        <v/>
      </c>
    </row>
    <row r="58" spans="1:15" x14ac:dyDescent="0.35">
      <c r="A58" s="46">
        <v>15</v>
      </c>
      <c r="B58" s="2" t="str">
        <f>IFERROR(IF(VLOOKUP(CONCATENATE($B$20,Table82[[#This Row],[Number ]]),Table70[[Move Number]:[Attack Roll or Save]],3,FALSE)="Attack Roll"," ",VLOOKUP(CONCATENATE($B$20,Table82[[#This Row],[Number ]]),Table70[[Move Number]:[Move Name]],2,FALSE))," ")</f>
        <v xml:space="preserve"> </v>
      </c>
      <c r="C58" s="21" t="str">
        <f>IFERROR(VLOOKUP(VLOOKUP(Table82[[#This Row],[Move Name]],Table70[[Move Name]:[Save DC]],6,FALSE)-VLOOKUP('Facade Dashboard'!$B$22,'Rules of the Game'!$V$3:$AJ$14,MATCH(VLOOKUP(Table82[[#This Row],[Move Name]],Table70[[Move Name]:[Save Type]],5,FALSE),Enemies[#Headers],0),FALSE),'Rules of the Game'!$G$88:$T$108,4,FALSE),"")</f>
        <v/>
      </c>
      <c r="D58" s="2" t="str">
        <f>IFERROR((VLOOKUP(Table82[[#This Row],[Move Name]],Table70[[Move Name]:[Average Damage]],14,FALSE)*Table82[[#This Row],[% Creature Fails]])+(0.05*VLOOKUP(Table82[[#This Row],[Move Name]],Table70[[Move Name]:[Average Damage]],14,FALSE)*2),"")</f>
        <v/>
      </c>
      <c r="E58" s="48" t="str">
        <f>IFERROR(VLOOKUP(VLOOKUP(Table82[[#This Row],[Move Name]],Table70[[Move Name]:[Save DC]],6,FALSE)-VLOOKUP('Facade Dashboard'!$B$22,'Rules of the Game'!$V$3:$AJ$14,MATCH(VLOOKUP(Table82[[#This Row],[Move Name]],Table70[[Move Name]:[Save Type]],5,FALSE),Enemies[#Headers],0),FALSE),'Rules of the Game'!$G$88:$T$108,7,FALSE),"")</f>
        <v/>
      </c>
      <c r="G58" t="str">
        <f>IFERROR((VLOOKUP(Table82[[#This Row],[Move Name]],Table70[[Move Name]:[Average Damage]],14,FALSE)*Table82[[#This Row],[% Creature Fails w/ ADV]])+(0.05*VLOOKUP(Table82[[#This Row],[Move Name]],Table70[[Move Name]:[Average Damage]],14,FALSE)*2),"")</f>
        <v/>
      </c>
      <c r="H58" s="48" t="str">
        <f>IFERROR(VLOOKUP(VLOOKUP(Table82[[#This Row],[Move Name]],Table70[[Move Name]:[Save DC]],6,FALSE)-VLOOKUP('Facade Dashboard'!$B$22,'Rules of the Game'!$V$3:$AJ$14,MATCH(VLOOKUP(Table82[[#This Row],[Move Name]],Table70[[Move Name]:[Save Type]],5,FALSE),Enemies[#Headers],0),FALSE),'Rules of the Game'!$G$88:$T$108,10,FALSE),"")</f>
        <v/>
      </c>
      <c r="I58" s="2" t="str">
        <f>IFERROR((VLOOKUP(Table82[[#This Row],[Move Name]],Table70[[Move Name]:[Average Damage]],14,FALSE)*Table82[[#This Row],[% Creature Fails with DIS]])+(0.05*VLOOKUP(Table82[[#This Row],[Move Name]],Table70[[Move Name]:[Average Damage]],14,FALSE)*2),"")</f>
        <v/>
      </c>
      <c r="K58">
        <v>9</v>
      </c>
      <c r="L58" s="2" t="str">
        <f>IFERROR(IF(VLOOKUP(CONCATENATE($B$22,Table101[[#This Row],[Number]]),Table100[[Move Number]:[Attack Roll or Save]],3,FALSE)="Attack Roll","",VLOOKUP(CONCATENATE($B$22,Table101[[#This Row],[Number]]),Table100[[Move Number]:[Move Name]],2,FALSE)),"")</f>
        <v/>
      </c>
      <c r="M58" s="58" t="str">
        <f>IFERROR(VLOOKUP(VLOOKUP(Table101[[#This Row],[Move Name]],Table100[[Move Name]:[Save DC]],6,FALSE)-VLOOKUP('Facade Dashboard'!$B$20,Table66[],MATCH(VLOOKUP(Table101[[#This Row],[Move Name]],Table100[[Move Name]:[Save Type]],5,FALSE),Table66[#Headers],0),FALSE),Probability[],4,FALSE),"")</f>
        <v/>
      </c>
      <c r="N58" s="21" t="str">
        <f>IFERROR(VLOOKUP(VLOOKUP(Table101[[#This Row],[Move Name]],Table100[[Move Name]:[Save DC]],6,FALSE)-VLOOKUP('Facade Dashboard'!$B$20,Table66[],MATCH(VLOOKUP(Table101[[#This Row],[Move Name]],Table100[[Move Name]:[Save Type]],5,FALSE),Table66[#Headers],0),FALSE),Probability[],10,FALSE),"")</f>
        <v/>
      </c>
      <c r="O58" s="21" t="str">
        <f>IFERROR(VLOOKUP(VLOOKUP(Table101[[#This Row],[Move Name]],Table100[[Move Name]:[Save DC]],6,FALSE)-VLOOKUP('Facade Dashboard'!$B$20,Table66[],MATCH(VLOOKUP(Table101[[#This Row],[Move Name]],Table100[[Move Name]:[Save Type]],5,FALSE),Table66[#Headers],0),FALSE),Probability[],7,FALSE),"")</f>
        <v/>
      </c>
    </row>
    <row r="59" spans="1:15" x14ac:dyDescent="0.35">
      <c r="A59" s="46">
        <v>16</v>
      </c>
      <c r="B59" s="2" t="str">
        <f>IFERROR(IF(VLOOKUP(CONCATENATE($B$20,Table82[[#This Row],[Number ]]),Table70[[Move Number]:[Attack Roll or Save]],3,FALSE)="Attack Roll"," ",VLOOKUP(CONCATENATE($B$20,Table82[[#This Row],[Number ]]),Table70[[Move Number]:[Move Name]],2,FALSE))," ")</f>
        <v xml:space="preserve"> </v>
      </c>
      <c r="C59" s="21" t="str">
        <f>IFERROR(VLOOKUP(VLOOKUP(Table82[[#This Row],[Move Name]],Table70[[Move Name]:[Save DC]],6,FALSE)-VLOOKUP('Facade Dashboard'!$B$22,'Rules of the Game'!$V$3:$AJ$14,MATCH(VLOOKUP(Table82[[#This Row],[Move Name]],Table70[[Move Name]:[Save Type]],5,FALSE),Enemies[#Headers],0),FALSE),'Rules of the Game'!$G$88:$T$108,4,FALSE),"")</f>
        <v/>
      </c>
      <c r="D59" s="2" t="str">
        <f>IFERROR((VLOOKUP(Table82[[#This Row],[Move Name]],Table70[[Move Name]:[Average Damage]],14,FALSE)*Table82[[#This Row],[% Creature Fails]])+(0.05*VLOOKUP(Table82[[#This Row],[Move Name]],Table70[[Move Name]:[Average Damage]],14,FALSE)*2),"")</f>
        <v/>
      </c>
      <c r="E59" s="48" t="str">
        <f>IFERROR(VLOOKUP(VLOOKUP(Table82[[#This Row],[Move Name]],Table70[[Move Name]:[Save DC]],6,FALSE)-VLOOKUP('Facade Dashboard'!$B$22,'Rules of the Game'!$V$3:$AJ$14,MATCH(VLOOKUP(Table82[[#This Row],[Move Name]],Table70[[Move Name]:[Save Type]],5,FALSE),Enemies[#Headers],0),FALSE),'Rules of the Game'!$G$88:$T$108,7,FALSE),"")</f>
        <v/>
      </c>
      <c r="G59" t="str">
        <f>IFERROR((VLOOKUP(Table82[[#This Row],[Move Name]],Table70[[Move Name]:[Average Damage]],14,FALSE)*Table82[[#This Row],[% Creature Fails w/ ADV]])+(0.05*VLOOKUP(Table82[[#This Row],[Move Name]],Table70[[Move Name]:[Average Damage]],14,FALSE)*2),"")</f>
        <v/>
      </c>
      <c r="H59" s="48" t="str">
        <f>IFERROR(VLOOKUP(VLOOKUP(Table82[[#This Row],[Move Name]],Table70[[Move Name]:[Save DC]],6,FALSE)-VLOOKUP('Facade Dashboard'!$B$22,'Rules of the Game'!$V$3:$AJ$14,MATCH(VLOOKUP(Table82[[#This Row],[Move Name]],Table70[[Move Name]:[Save Type]],5,FALSE),Enemies[#Headers],0),FALSE),'Rules of the Game'!$G$88:$T$108,10,FALSE),"")</f>
        <v/>
      </c>
      <c r="I59" s="2" t="str">
        <f>IFERROR((VLOOKUP(Table82[[#This Row],[Move Name]],Table70[[Move Name]:[Average Damage]],14,FALSE)*Table82[[#This Row],[% Creature Fails with DIS]])+(0.05*VLOOKUP(Table82[[#This Row],[Move Name]],Table70[[Move Name]:[Average Damage]],14,FALSE)*2),"")</f>
        <v/>
      </c>
    </row>
    <row r="60" spans="1:15" x14ac:dyDescent="0.35">
      <c r="A60" s="46">
        <v>17</v>
      </c>
      <c r="B60" s="2" t="str">
        <f>IFERROR(IF(VLOOKUP(CONCATENATE($B$20,Table82[[#This Row],[Number ]]),Table70[[Move Number]:[Attack Roll or Save]],3,FALSE)="Attack Roll"," ",VLOOKUP(CONCATENATE($B$20,Table82[[#This Row],[Number ]]),Table70[[Move Number]:[Move Name]],2,FALSE))," ")</f>
        <v xml:space="preserve"> </v>
      </c>
      <c r="C60" s="21" t="str">
        <f>IFERROR(VLOOKUP(VLOOKUP(Table82[[#This Row],[Move Name]],Table70[[Move Name]:[Save DC]],6,FALSE)-VLOOKUP('Facade Dashboard'!$B$22,'Rules of the Game'!$V$3:$AJ$14,MATCH(VLOOKUP(Table82[[#This Row],[Move Name]],Table70[[Move Name]:[Save Type]],5,FALSE),Enemies[#Headers],0),FALSE),'Rules of the Game'!$G$88:$T$108,4,FALSE),"")</f>
        <v/>
      </c>
      <c r="D60" s="2" t="str">
        <f>IFERROR((VLOOKUP(Table82[[#This Row],[Move Name]],Table70[[Move Name]:[Average Damage]],14,FALSE)*Table82[[#This Row],[% Creature Fails]])+(0.05*VLOOKUP(Table82[[#This Row],[Move Name]],Table70[[Move Name]:[Average Damage]],14,FALSE)*2),"")</f>
        <v/>
      </c>
      <c r="E60" s="48" t="str">
        <f>IFERROR(VLOOKUP(VLOOKUP(Table82[[#This Row],[Move Name]],Table70[[Move Name]:[Save DC]],6,FALSE)-VLOOKUP('Facade Dashboard'!$B$22,'Rules of the Game'!$V$3:$AJ$14,MATCH(VLOOKUP(Table82[[#This Row],[Move Name]],Table70[[Move Name]:[Save Type]],5,FALSE),Enemies[#Headers],0),FALSE),'Rules of the Game'!$G$88:$T$108,7,FALSE),"")</f>
        <v/>
      </c>
      <c r="G60" t="str">
        <f>IFERROR((VLOOKUP(Table82[[#This Row],[Move Name]],Table70[[Move Name]:[Average Damage]],14,FALSE)*Table82[[#This Row],[% Creature Fails w/ ADV]])+(0.05*VLOOKUP(Table82[[#This Row],[Move Name]],Table70[[Move Name]:[Average Damage]],14,FALSE)*2),"")</f>
        <v/>
      </c>
      <c r="H60" s="48" t="str">
        <f>IFERROR(VLOOKUP(VLOOKUP(Table82[[#This Row],[Move Name]],Table70[[Move Name]:[Save DC]],6,FALSE)-VLOOKUP('Facade Dashboard'!$B$22,'Rules of the Game'!$V$3:$AJ$14,MATCH(VLOOKUP(Table82[[#This Row],[Move Name]],Table70[[Move Name]:[Save Type]],5,FALSE),Enemies[#Headers],0),FALSE),'Rules of the Game'!$G$88:$T$108,10,FALSE),"")</f>
        <v/>
      </c>
      <c r="I60" s="2" t="str">
        <f>IFERROR((VLOOKUP(Table82[[#This Row],[Move Name]],Table70[[Move Name]:[Average Damage]],14,FALSE)*Table82[[#This Row],[% Creature Fails with DIS]])+(0.05*VLOOKUP(Table82[[#This Row],[Move Name]],Table70[[Move Name]:[Average Damage]],14,FALSE)*2),"")</f>
        <v/>
      </c>
    </row>
    <row r="61" spans="1:15" x14ac:dyDescent="0.35">
      <c r="A61" s="46">
        <v>18</v>
      </c>
      <c r="B61" s="2" t="str">
        <f>IFERROR(IF(VLOOKUP(CONCATENATE($B$20,Table82[[#This Row],[Number ]]),Table70[[Move Number]:[Attack Roll or Save]],3,FALSE)="Attack Roll"," ",VLOOKUP(CONCATENATE($B$20,Table82[[#This Row],[Number ]]),Table70[[Move Number]:[Move Name]],2,FALSE))," ")</f>
        <v xml:space="preserve"> </v>
      </c>
      <c r="C61" s="21" t="str">
        <f>IFERROR(VLOOKUP(VLOOKUP(Table82[[#This Row],[Move Name]],Table70[[Move Name]:[Save DC]],6,FALSE)-VLOOKUP('Facade Dashboard'!$B$22,'Rules of the Game'!$V$3:$AJ$14,MATCH(VLOOKUP(Table82[[#This Row],[Move Name]],Table70[[Move Name]:[Save Type]],5,FALSE),Enemies[#Headers],0),FALSE),'Rules of the Game'!$G$88:$T$108,4,FALSE),"")</f>
        <v/>
      </c>
      <c r="D61" s="2" t="str">
        <f>IFERROR((VLOOKUP(Table82[[#This Row],[Move Name]],Table70[[Move Name]:[Average Damage]],14,FALSE)*Table82[[#This Row],[% Creature Fails]])+(0.05*VLOOKUP(Table82[[#This Row],[Move Name]],Table70[[Move Name]:[Average Damage]],14,FALSE)*2),"")</f>
        <v/>
      </c>
      <c r="E61" s="48" t="str">
        <f>IFERROR(VLOOKUP(VLOOKUP(Table82[[#This Row],[Move Name]],Table70[[Move Name]:[Save DC]],6,FALSE)-VLOOKUP('Facade Dashboard'!$B$22,'Rules of the Game'!$V$3:$AJ$14,MATCH(VLOOKUP(Table82[[#This Row],[Move Name]],Table70[[Move Name]:[Save Type]],5,FALSE),Enemies[#Headers],0),FALSE),'Rules of the Game'!$G$88:$T$108,7,FALSE),"")</f>
        <v/>
      </c>
      <c r="G61" t="str">
        <f>IFERROR((VLOOKUP(Table82[[#This Row],[Move Name]],Table70[[Move Name]:[Average Damage]],14,FALSE)*Table82[[#This Row],[% Creature Fails w/ ADV]])+(0.05*VLOOKUP(Table82[[#This Row],[Move Name]],Table70[[Move Name]:[Average Damage]],14,FALSE)*2),"")</f>
        <v/>
      </c>
      <c r="H61" s="48" t="str">
        <f>IFERROR(VLOOKUP(VLOOKUP(Table82[[#This Row],[Move Name]],Table70[[Move Name]:[Save DC]],6,FALSE)-VLOOKUP('Facade Dashboard'!$B$22,'Rules of the Game'!$V$3:$AJ$14,MATCH(VLOOKUP(Table82[[#This Row],[Move Name]],Table70[[Move Name]:[Save Type]],5,FALSE),Enemies[#Headers],0),FALSE),'Rules of the Game'!$G$88:$T$108,10,FALSE),"")</f>
        <v/>
      </c>
      <c r="I61" s="2" t="str">
        <f>IFERROR((VLOOKUP(Table82[[#This Row],[Move Name]],Table70[[Move Name]:[Average Damage]],14,FALSE)*Table82[[#This Row],[% Creature Fails with DIS]])+(0.05*VLOOKUP(Table82[[#This Row],[Move Name]],Table70[[Move Name]:[Average Damage]],14,FALSE)*2),"")</f>
        <v/>
      </c>
    </row>
    <row r="63" spans="1:15" x14ac:dyDescent="0.35">
      <c r="A63" s="1" t="s">
        <v>340</v>
      </c>
      <c r="E63" t="s">
        <v>480</v>
      </c>
    </row>
    <row r="64" spans="1:15" x14ac:dyDescent="0.35">
      <c r="A64" t="s">
        <v>297</v>
      </c>
      <c r="B64" t="s">
        <v>341</v>
      </c>
      <c r="C64" t="s">
        <v>308</v>
      </c>
      <c r="E64" t="s">
        <v>297</v>
      </c>
      <c r="F64" t="s">
        <v>112</v>
      </c>
      <c r="G64" t="s">
        <v>415</v>
      </c>
      <c r="H64" t="s">
        <v>414</v>
      </c>
      <c r="I64" t="s">
        <v>413</v>
      </c>
      <c r="J64" t="s">
        <v>410</v>
      </c>
      <c r="K64" t="s">
        <v>411</v>
      </c>
      <c r="L64" t="s">
        <v>412</v>
      </c>
    </row>
    <row r="65" spans="2:17" x14ac:dyDescent="0.35">
      <c r="B65" t="str">
        <f>IFERROR(VLOOKUP(Table51[[#This Row],[Creature]],Summons[],2,FALSE),"")</f>
        <v/>
      </c>
      <c r="C65" t="str">
        <f>IFERROR(VLOOKUP(Table51[[#This Row],[Creature]],Summons[],3,FALSE),"")</f>
        <v/>
      </c>
      <c r="E65" t="s">
        <v>242</v>
      </c>
      <c r="G65">
        <f>'Drow Arachnomancer'!$E$2</f>
        <v>0</v>
      </c>
      <c r="H65">
        <f>'Drow Arachnomancer'!$E$3</f>
        <v>3</v>
      </c>
      <c r="I65">
        <f>'Drow Arachnomancer'!$E$4</f>
        <v>10</v>
      </c>
      <c r="J65">
        <f>'Drow Arachnomancer'!$E$5</f>
        <v>13</v>
      </c>
      <c r="K65">
        <f>'Drow Arachnomancer'!$E$6</f>
        <v>8</v>
      </c>
      <c r="L65">
        <f>'Drow Arachnomancer'!$E$7</f>
        <v>10</v>
      </c>
    </row>
    <row r="66" spans="2:17" x14ac:dyDescent="0.35">
      <c r="B66" t="str">
        <f>IFERROR(VLOOKUP(Table51[[#This Row],[Creature]],Summons[],2,FALSE),"")</f>
        <v/>
      </c>
      <c r="C66" t="str">
        <f>IFERROR(VLOOKUP(Table51[[#This Row],[Creature]],Summons[],3,FALSE),"")</f>
        <v/>
      </c>
      <c r="E66" t="s">
        <v>54</v>
      </c>
      <c r="G66">
        <f>Archdruid!$E$2</f>
        <v>0</v>
      </c>
      <c r="H66">
        <f>Archdruid!$E$3</f>
        <v>2</v>
      </c>
      <c r="I66">
        <f>Archdruid!$E$4</f>
        <v>9</v>
      </c>
      <c r="J66">
        <f>Archdruid!$E$5</f>
        <v>13</v>
      </c>
      <c r="K66">
        <f>Archdruid!$E$6</f>
        <v>8</v>
      </c>
      <c r="L66">
        <f>Archdruid!$E$7</f>
        <v>2</v>
      </c>
    </row>
    <row r="67" spans="2:17" x14ac:dyDescent="0.35">
      <c r="B67" t="str">
        <f>IFERROR(VLOOKUP(Table51[[#This Row],[Creature]],Summons[],2,FALSE),"")</f>
        <v/>
      </c>
      <c r="C67" t="str">
        <f>IFERROR(VLOOKUP(Table51[[#This Row],[Creature]],Summons[],3,FALSE),"")</f>
        <v/>
      </c>
      <c r="E67" s="16" t="s">
        <v>55</v>
      </c>
      <c r="G67">
        <f>'Conclave Dryad'!$E$2</f>
        <v>1</v>
      </c>
      <c r="H67">
        <f>'Conclave Dryad'!$E$3</f>
        <v>4</v>
      </c>
      <c r="I67">
        <f>'Conclave Dryad'!$E$4</f>
        <v>10</v>
      </c>
      <c r="J67">
        <f>'Conclave Dryad'!$E$5</f>
        <v>13</v>
      </c>
      <c r="K67">
        <f>'Conclave Dryad'!$E$6</f>
        <v>8</v>
      </c>
      <c r="L67">
        <f>'Conclave Dryad'!$E$7</f>
        <v>10</v>
      </c>
    </row>
    <row r="68" spans="2:17" x14ac:dyDescent="0.35">
      <c r="E68" t="s">
        <v>489</v>
      </c>
      <c r="G68">
        <f>Facade!$E$2</f>
        <v>0</v>
      </c>
      <c r="H68">
        <f>Facade!$E$3</f>
        <v>5</v>
      </c>
      <c r="I68">
        <f>Facade!$E$4</f>
        <v>10</v>
      </c>
      <c r="J68">
        <f>Facade!$E$5</f>
        <v>13</v>
      </c>
      <c r="K68">
        <f>Facade!$E$6</f>
        <v>8</v>
      </c>
      <c r="L68">
        <f>Facade!$E$7</f>
        <v>2</v>
      </c>
    </row>
    <row r="69" spans="2:17" x14ac:dyDescent="0.35">
      <c r="E69" t="s">
        <v>57</v>
      </c>
      <c r="G69">
        <f>'Gallows Speaker'!$E$2</f>
        <v>-1</v>
      </c>
      <c r="H69">
        <f>'Gallows Speaker'!$E$3</f>
        <v>2</v>
      </c>
      <c r="I69">
        <f>'Gallows Speaker'!$E$4</f>
        <v>8</v>
      </c>
      <c r="J69">
        <f>'Gallows Speaker'!$E$5</f>
        <v>13</v>
      </c>
      <c r="K69">
        <f>'Gallows Speaker'!$E$6</f>
        <v>8</v>
      </c>
      <c r="L69">
        <f>'Gallows Speaker'!$E$7</f>
        <v>2</v>
      </c>
    </row>
    <row r="70" spans="2:17" x14ac:dyDescent="0.35">
      <c r="E70" t="s">
        <v>58</v>
      </c>
      <c r="G70">
        <f>'Ghost (CR 16)'!$E$2</f>
        <v>1</v>
      </c>
      <c r="H70">
        <f>'Ghost (CR 16)'!$E$3</f>
        <v>4</v>
      </c>
      <c r="I70">
        <f>'Gallows Speaker'!$E$4</f>
        <v>8</v>
      </c>
      <c r="J70">
        <f>'Ghost (CR 16)'!$E$5</f>
        <v>13</v>
      </c>
      <c r="K70">
        <f>'Ghost (CR 16)'!$E$6</f>
        <v>8</v>
      </c>
      <c r="L70">
        <f>'Ghost (CR 16)'!$E$7</f>
        <v>2</v>
      </c>
    </row>
    <row r="71" spans="2:17" x14ac:dyDescent="0.35">
      <c r="E71" t="s">
        <v>299</v>
      </c>
      <c r="G71">
        <f>Gloomweaver!$E$2</f>
        <v>0</v>
      </c>
      <c r="H71">
        <f>Gloomweaver!$E$3</f>
        <v>12</v>
      </c>
      <c r="I71">
        <f>Gloomweaver!$E$4</f>
        <v>10</v>
      </c>
      <c r="J71">
        <f>Gloomweaver!$E$5</f>
        <v>13</v>
      </c>
      <c r="K71">
        <f>Gloomweaver!$E$6</f>
        <v>8</v>
      </c>
      <c r="L71">
        <f>Gloomweaver!$E$7</f>
        <v>2</v>
      </c>
    </row>
    <row r="72" spans="2:17" x14ac:dyDescent="0.35">
      <c r="E72" s="16" t="s">
        <v>60</v>
      </c>
      <c r="G72">
        <f>'Ki-rin'!$E$2</f>
        <v>5</v>
      </c>
      <c r="H72">
        <f>'Ki-rin'!$E$3</f>
        <v>3</v>
      </c>
      <c r="I72">
        <f>'Ki-rin'!$E$4</f>
        <v>11</v>
      </c>
      <c r="J72">
        <f>'Ki-rin'!$E$5</f>
        <v>13</v>
      </c>
      <c r="K72">
        <f>'Ki-rin'!$E$6</f>
        <v>8</v>
      </c>
      <c r="L72">
        <f>'Ki-rin'!$E$7</f>
        <v>2</v>
      </c>
    </row>
    <row r="73" spans="2:17" x14ac:dyDescent="0.35">
      <c r="E73" s="16" t="s">
        <v>61</v>
      </c>
      <c r="G73">
        <f>Neothelid!$E$2</f>
        <v>8</v>
      </c>
      <c r="H73">
        <f>Neothelid!$E$3</f>
        <v>-2</v>
      </c>
      <c r="I73">
        <f>Neothelid!$E$4</f>
        <v>13</v>
      </c>
      <c r="J73">
        <f>Neothelid!$E$5</f>
        <v>13</v>
      </c>
      <c r="K73">
        <f>Neothelid!$E$6</f>
        <v>8</v>
      </c>
      <c r="L73">
        <f>Neothelid!$E$7</f>
        <v>10</v>
      </c>
    </row>
    <row r="74" spans="2:17" x14ac:dyDescent="0.35">
      <c r="E74" t="s">
        <v>300</v>
      </c>
      <c r="G74">
        <f>'Oni Nothic'!$E$2</f>
        <v>4</v>
      </c>
      <c r="H74">
        <f>'Oni Nothic'!$E$3</f>
        <v>11</v>
      </c>
      <c r="I74">
        <f>'Oni Nothic'!$E$4</f>
        <v>11</v>
      </c>
      <c r="J74">
        <f>'Oni Nothic'!$E$5</f>
        <v>13</v>
      </c>
      <c r="K74">
        <f>'Oni Nothic'!$E$6</f>
        <v>8</v>
      </c>
      <c r="L74">
        <f>'Oni Nothic'!$E$7</f>
        <v>10</v>
      </c>
    </row>
    <row r="75" spans="2:17" x14ac:dyDescent="0.35">
      <c r="E75" s="16" t="s">
        <v>63</v>
      </c>
      <c r="G75">
        <f>Rakshasa!$E$2</f>
        <v>2</v>
      </c>
      <c r="H75">
        <f>Rakshasa!$E$3</f>
        <v>3</v>
      </c>
      <c r="I75">
        <f>Rakshasa!$E$4</f>
        <v>12</v>
      </c>
      <c r="J75">
        <f>Rakshasa!$E$5</f>
        <v>13</v>
      </c>
      <c r="K75">
        <f>Rakshasa!$E$6</f>
        <v>8</v>
      </c>
      <c r="L75">
        <f>Rakshasa!$E$7</f>
        <v>2</v>
      </c>
    </row>
    <row r="76" spans="2:17" x14ac:dyDescent="0.35">
      <c r="E76" t="s">
        <v>64</v>
      </c>
      <c r="G76">
        <f>'Vampire Spectator'!$E$2</f>
        <v>4</v>
      </c>
      <c r="H76">
        <f>'Vampire Spectator'!$E$3</f>
        <v>12</v>
      </c>
      <c r="I76">
        <f>'Vampire Spectator'!$E$4</f>
        <v>12</v>
      </c>
      <c r="J76">
        <f>'Vampire Spectator'!$E$5</f>
        <v>13</v>
      </c>
      <c r="K76">
        <f>'Vampire Spectator'!$E$6</f>
        <v>8</v>
      </c>
      <c r="L76">
        <f>'Vampire Spectator'!$E$7</f>
        <v>10</v>
      </c>
    </row>
    <row r="78" spans="2:17" x14ac:dyDescent="0.35">
      <c r="E78" t="s">
        <v>483</v>
      </c>
    </row>
    <row r="79" spans="2:17" x14ac:dyDescent="0.35">
      <c r="E79" t="s">
        <v>297</v>
      </c>
      <c r="F79" t="s">
        <v>112</v>
      </c>
      <c r="G79" t="s">
        <v>45</v>
      </c>
      <c r="H79" t="s">
        <v>41</v>
      </c>
      <c r="I79" t="s">
        <v>35</v>
      </c>
      <c r="J79" t="s">
        <v>28</v>
      </c>
      <c r="K79" t="s">
        <v>23</v>
      </c>
      <c r="L79" t="s">
        <v>18</v>
      </c>
      <c r="M79" t="s">
        <v>15</v>
      </c>
      <c r="N79" t="s">
        <v>66</v>
      </c>
      <c r="O79" t="s">
        <v>10</v>
      </c>
      <c r="P79" t="s">
        <v>487</v>
      </c>
      <c r="Q79" t="s">
        <v>488</v>
      </c>
    </row>
    <row r="80" spans="2:17" x14ac:dyDescent="0.35">
      <c r="E80" t="s">
        <v>242</v>
      </c>
      <c r="G80">
        <v>4</v>
      </c>
      <c r="H80">
        <v>3</v>
      </c>
      <c r="I80">
        <v>3</v>
      </c>
      <c r="J80">
        <v>3</v>
      </c>
      <c r="K80">
        <v>6</v>
      </c>
      <c r="L80">
        <v>2</v>
      </c>
      <c r="M80">
        <v>2</v>
      </c>
      <c r="N80">
        <v>1</v>
      </c>
      <c r="O80">
        <v>1</v>
      </c>
      <c r="P80">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26</v>
      </c>
      <c r="Q80">
        <f>SlotTracker[[#This Row],[Spell Presence]]-SUMIFS(Table68[Weight],Table68[Creature Casting],SlotTracker[[#This Row],[Creature]])</f>
        <v>26</v>
      </c>
    </row>
    <row r="81" spans="5:17" x14ac:dyDescent="0.35">
      <c r="E81" t="s">
        <v>54</v>
      </c>
      <c r="G81">
        <v>8</v>
      </c>
      <c r="H81">
        <v>6</v>
      </c>
      <c r="I81">
        <v>6</v>
      </c>
      <c r="J81">
        <v>6</v>
      </c>
      <c r="K81">
        <v>6</v>
      </c>
      <c r="L81">
        <v>3</v>
      </c>
      <c r="M81">
        <v>3</v>
      </c>
      <c r="N81">
        <v>2</v>
      </c>
      <c r="O81">
        <v>2</v>
      </c>
      <c r="P81">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42</v>
      </c>
      <c r="Q81">
        <f>SlotTracker[[#This Row],[Spell Presence]]-SUMIFS(Table68[Weight],Table68[Creature Casting],SlotTracker[[#This Row],[Creature]])</f>
        <v>42</v>
      </c>
    </row>
    <row r="82" spans="5:17" x14ac:dyDescent="0.35">
      <c r="E82" t="s">
        <v>55</v>
      </c>
      <c r="G82">
        <v>4</v>
      </c>
      <c r="H82">
        <v>3</v>
      </c>
      <c r="I82">
        <v>3</v>
      </c>
      <c r="J82">
        <v>3</v>
      </c>
      <c r="K82">
        <v>3</v>
      </c>
      <c r="L82">
        <v>2</v>
      </c>
      <c r="M82">
        <v>2</v>
      </c>
      <c r="N82">
        <v>1</v>
      </c>
      <c r="O82">
        <v>1</v>
      </c>
      <c r="P82">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23</v>
      </c>
      <c r="Q82">
        <f>SlotTracker[[#This Row],[Spell Presence]]-SUMIFS(Table68[Weight],Table68[Creature Casting],SlotTracker[[#This Row],[Creature]])</f>
        <v>23</v>
      </c>
    </row>
    <row r="83" spans="5:17" x14ac:dyDescent="0.35">
      <c r="E83" t="s">
        <v>489</v>
      </c>
      <c r="G83">
        <v>4</v>
      </c>
      <c r="H83">
        <v>3</v>
      </c>
      <c r="I83">
        <v>3</v>
      </c>
      <c r="J83">
        <v>3</v>
      </c>
      <c r="K83">
        <v>3</v>
      </c>
      <c r="L83">
        <v>2</v>
      </c>
      <c r="M83">
        <v>2</v>
      </c>
      <c r="N83">
        <v>1</v>
      </c>
      <c r="O83">
        <v>1</v>
      </c>
      <c r="P83">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23</v>
      </c>
      <c r="Q83">
        <f>SlotTracker[[#This Row],[Spell Presence]]-SUMIFS(Table68[Weight],Table68[Creature Casting],SlotTracker[[#This Row],[Creature]])</f>
        <v>23</v>
      </c>
    </row>
    <row r="84" spans="5:17" x14ac:dyDescent="0.35">
      <c r="E84" t="s">
        <v>57</v>
      </c>
      <c r="G84">
        <v>4</v>
      </c>
      <c r="H84">
        <v>3</v>
      </c>
      <c r="I84">
        <v>3</v>
      </c>
      <c r="J84">
        <v>3</v>
      </c>
      <c r="K84">
        <v>6</v>
      </c>
      <c r="L84">
        <v>2</v>
      </c>
      <c r="M84">
        <v>2</v>
      </c>
      <c r="N84">
        <v>1</v>
      </c>
      <c r="O84">
        <v>1</v>
      </c>
      <c r="P84">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26</v>
      </c>
      <c r="Q84">
        <f>SlotTracker[[#This Row],[Spell Presence]]-SUMIFS(Table68[Weight],Table68[Creature Casting],SlotTracker[[#This Row],[Creature]])</f>
        <v>26</v>
      </c>
    </row>
    <row r="85" spans="5:17" x14ac:dyDescent="0.35">
      <c r="E85" t="s">
        <v>58</v>
      </c>
      <c r="G85">
        <v>4</v>
      </c>
      <c r="H85">
        <v>3</v>
      </c>
      <c r="I85">
        <v>3</v>
      </c>
      <c r="J85">
        <v>3</v>
      </c>
      <c r="K85">
        <v>3</v>
      </c>
      <c r="L85">
        <v>2</v>
      </c>
      <c r="M85">
        <v>2</v>
      </c>
      <c r="N85">
        <v>1</v>
      </c>
      <c r="O85">
        <v>1</v>
      </c>
      <c r="P85">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23</v>
      </c>
      <c r="Q85">
        <f>SlotTracker[[#This Row],[Spell Presence]]-SUMIFS(Table68[Weight],Table68[Creature Casting],SlotTracker[[#This Row],[Creature]])</f>
        <v>23</v>
      </c>
    </row>
    <row r="86" spans="5:17" x14ac:dyDescent="0.35">
      <c r="E86" t="s">
        <v>299</v>
      </c>
      <c r="G86">
        <v>4</v>
      </c>
      <c r="H86">
        <v>3</v>
      </c>
      <c r="I86">
        <v>3</v>
      </c>
      <c r="J86">
        <v>3</v>
      </c>
      <c r="K86">
        <v>6</v>
      </c>
      <c r="L86">
        <v>2</v>
      </c>
      <c r="M86">
        <v>2</v>
      </c>
      <c r="N86">
        <v>1</v>
      </c>
      <c r="O86">
        <v>1</v>
      </c>
      <c r="P86">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26</v>
      </c>
      <c r="Q86">
        <f>SlotTracker[[#This Row],[Spell Presence]]-SUMIFS(Table68[Weight],Table68[Creature Casting],SlotTracker[[#This Row],[Creature]])</f>
        <v>26</v>
      </c>
    </row>
    <row r="87" spans="5:17" x14ac:dyDescent="0.35">
      <c r="E87" t="s">
        <v>344</v>
      </c>
      <c r="G87">
        <v>4</v>
      </c>
      <c r="H87">
        <v>3</v>
      </c>
      <c r="I87">
        <v>3</v>
      </c>
      <c r="J87">
        <v>3</v>
      </c>
      <c r="K87">
        <v>3</v>
      </c>
      <c r="L87">
        <v>2</v>
      </c>
      <c r="M87">
        <v>2</v>
      </c>
      <c r="N87">
        <v>1</v>
      </c>
      <c r="O87">
        <v>0</v>
      </c>
      <c r="P87">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20</v>
      </c>
      <c r="Q87">
        <f>SlotTracker[[#This Row],[Spell Presence]]-SUMIFS(Table68[Weight],Table68[Creature Casting],SlotTracker[[#This Row],[Creature]])</f>
        <v>20</v>
      </c>
    </row>
    <row r="88" spans="5:17" x14ac:dyDescent="0.35">
      <c r="E88" t="s">
        <v>60</v>
      </c>
      <c r="G88">
        <v>8</v>
      </c>
      <c r="H88">
        <v>6</v>
      </c>
      <c r="I88">
        <v>6</v>
      </c>
      <c r="J88">
        <v>6</v>
      </c>
      <c r="K88">
        <v>6</v>
      </c>
      <c r="L88">
        <v>3</v>
      </c>
      <c r="M88">
        <v>3</v>
      </c>
      <c r="N88">
        <v>2</v>
      </c>
      <c r="O88">
        <v>2</v>
      </c>
      <c r="P88">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42</v>
      </c>
      <c r="Q88">
        <f>SlotTracker[[#This Row],[Spell Presence]]-SUMIFS(Table68[Weight],Table68[Creature Casting],SlotTracker[[#This Row],[Creature]])</f>
        <v>42</v>
      </c>
    </row>
    <row r="89" spans="5:17" x14ac:dyDescent="0.35">
      <c r="E89" t="s">
        <v>61</v>
      </c>
      <c r="G89">
        <v>4</v>
      </c>
      <c r="H89">
        <v>3</v>
      </c>
      <c r="I89">
        <v>3</v>
      </c>
      <c r="J89">
        <v>3</v>
      </c>
      <c r="K89">
        <v>3</v>
      </c>
      <c r="L89">
        <v>2</v>
      </c>
      <c r="M89">
        <v>2</v>
      </c>
      <c r="N89">
        <v>1</v>
      </c>
      <c r="O89">
        <v>1</v>
      </c>
      <c r="P89">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23</v>
      </c>
      <c r="Q89">
        <f>SlotTracker[[#This Row],[Spell Presence]]-SUMIFS(Table68[Weight],Table68[Creature Casting],SlotTracker[[#This Row],[Creature]])</f>
        <v>23</v>
      </c>
    </row>
    <row r="90" spans="5:17" x14ac:dyDescent="0.35">
      <c r="E90" t="s">
        <v>300</v>
      </c>
      <c r="G90">
        <v>4</v>
      </c>
      <c r="H90">
        <v>3</v>
      </c>
      <c r="I90">
        <v>3</v>
      </c>
      <c r="J90">
        <v>3</v>
      </c>
      <c r="K90">
        <v>3</v>
      </c>
      <c r="L90">
        <v>2</v>
      </c>
      <c r="M90">
        <v>2</v>
      </c>
      <c r="N90">
        <v>1</v>
      </c>
      <c r="O90">
        <v>1</v>
      </c>
      <c r="P90">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23</v>
      </c>
      <c r="Q90">
        <f>SlotTracker[[#This Row],[Spell Presence]]-SUMIFS(Table68[Weight],Table68[Creature Casting],SlotTracker[[#This Row],[Creature]])</f>
        <v>23</v>
      </c>
    </row>
    <row r="91" spans="5:17" x14ac:dyDescent="0.35">
      <c r="E91" t="s">
        <v>486</v>
      </c>
      <c r="G91">
        <v>4</v>
      </c>
      <c r="H91">
        <v>3</v>
      </c>
      <c r="I91">
        <v>3</v>
      </c>
      <c r="J91">
        <v>3</v>
      </c>
      <c r="K91">
        <v>3</v>
      </c>
      <c r="L91">
        <v>2</v>
      </c>
      <c r="M91">
        <v>2</v>
      </c>
      <c r="N91">
        <v>1</v>
      </c>
      <c r="O91">
        <v>1</v>
      </c>
      <c r="P91">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23</v>
      </c>
      <c r="Q91">
        <f>SlotTracker[[#This Row],[Spell Presence]]-SUMIFS(Table68[Weight],Table68[Creature Casting],SlotTracker[[#This Row],[Creature]])</f>
        <v>23</v>
      </c>
    </row>
    <row r="92" spans="5:17" x14ac:dyDescent="0.35">
      <c r="E92" t="s">
        <v>63</v>
      </c>
      <c r="G92">
        <v>4</v>
      </c>
      <c r="H92">
        <v>3</v>
      </c>
      <c r="I92">
        <v>3</v>
      </c>
      <c r="J92">
        <v>3</v>
      </c>
      <c r="K92">
        <v>3</v>
      </c>
      <c r="L92">
        <v>2</v>
      </c>
      <c r="M92">
        <v>2</v>
      </c>
      <c r="N92">
        <v>1</v>
      </c>
      <c r="O92">
        <v>1</v>
      </c>
      <c r="P92">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23</v>
      </c>
      <c r="Q92">
        <f>SlotTracker[[#This Row],[Spell Presence]]-SUMIFS(Table68[Weight],Table68[Creature Casting],SlotTracker[[#This Row],[Creature]])</f>
        <v>23</v>
      </c>
    </row>
    <row r="93" spans="5:17" x14ac:dyDescent="0.35">
      <c r="E93" t="s">
        <v>64</v>
      </c>
      <c r="G93">
        <v>8</v>
      </c>
      <c r="H93">
        <v>6</v>
      </c>
      <c r="I93">
        <v>6</v>
      </c>
      <c r="J93">
        <v>6</v>
      </c>
      <c r="K93">
        <v>4</v>
      </c>
      <c r="L93">
        <v>2</v>
      </c>
      <c r="M93">
        <v>2</v>
      </c>
      <c r="N93">
        <v>1</v>
      </c>
      <c r="O93">
        <v>1</v>
      </c>
      <c r="P93">
        <f>(SlotTracker[[#This Row],[9th]]*VLOOKUP(SlotTracker[[#Headers],[9th]],Table67[],2,FALSE))+(SlotTracker[[#This Row],[8th]]*VLOOKUP(SlotTracker[[#Headers],[8th]],Table67[],2,FALSE))+(SlotTracker[[#This Row],[7th]]*VLOOKUP(SlotTracker[[#Headers],[7th]],Table67[],2,FALSE))+(SlotTracker[[#This Row],[6th]]*VLOOKUP(SlotTracker[[#Headers],[6th]],Table67[],2,FALSE))+(SlotTracker[[#This Row],[5th]]*VLOOKUP(SlotTracker[[#Headers],[5th]],Table67[],2,FALSE))+(SlotTracker[[#This Row],[4th]]*VLOOKUP(SlotTracker[[#Headers],[4th]],Table67[],2,FALSE))+(SlotTracker[[#This Row],[3rd]]*VLOOKUP(SlotTracker[[#Headers],[3rd]],Table67[],2,FALSE))+(SlotTracker[[#This Row],[2nd]]*VLOOKUP(SlotTracker[[#Headers],[2nd]],Table67[],2,FALSE))+(SlotTracker[[#This Row],[1st]]*VLOOKUP(SlotTracker[[#Headers],[1st]],Table67[],2,FALSE))</f>
        <v>31</v>
      </c>
      <c r="Q93">
        <f>SlotTracker[[#This Row],[Spell Presence]]-SUMIFS(Table68[Weight],Table68[Creature Casting],SlotTracker[[#This Row],[Creature]])</f>
        <v>31</v>
      </c>
    </row>
    <row r="95" spans="5:17" x14ac:dyDescent="0.35">
      <c r="I95" s="1" t="s">
        <v>570</v>
      </c>
      <c r="K95" s="50" t="s">
        <v>562</v>
      </c>
      <c r="L95" s="50" t="s">
        <v>558</v>
      </c>
      <c r="M95" s="50" t="s">
        <v>559</v>
      </c>
    </row>
    <row r="96" spans="5:17" x14ac:dyDescent="0.35">
      <c r="I96" t="s">
        <v>571</v>
      </c>
      <c r="K96" s="38">
        <v>24</v>
      </c>
      <c r="L96" s="38" t="s">
        <v>565</v>
      </c>
      <c r="M96" s="38" t="s">
        <v>564</v>
      </c>
    </row>
    <row r="97" spans="9:13" x14ac:dyDescent="0.35">
      <c r="I97" t="s">
        <v>572</v>
      </c>
      <c r="K97" s="38">
        <v>24</v>
      </c>
      <c r="L97" s="38" t="s">
        <v>566</v>
      </c>
      <c r="M97" s="38" t="s">
        <v>567</v>
      </c>
    </row>
    <row r="98" spans="9:13" x14ac:dyDescent="0.35">
      <c r="I98" t="s">
        <v>573</v>
      </c>
      <c r="K98" s="38">
        <v>24</v>
      </c>
      <c r="L98" s="38" t="s">
        <v>569</v>
      </c>
      <c r="M98" s="38" t="s">
        <v>568</v>
      </c>
    </row>
    <row r="99" spans="9:13" x14ac:dyDescent="0.35">
      <c r="I99" t="s">
        <v>574</v>
      </c>
      <c r="K99" s="38">
        <v>24</v>
      </c>
      <c r="L99" s="38" t="s">
        <v>578</v>
      </c>
      <c r="M99" s="38"/>
    </row>
    <row r="100" spans="9:13" x14ac:dyDescent="0.35">
      <c r="I100" t="s">
        <v>575</v>
      </c>
      <c r="K100" s="38">
        <v>24</v>
      </c>
      <c r="L100" s="38" t="s">
        <v>660</v>
      </c>
      <c r="M100" s="38" t="s">
        <v>661</v>
      </c>
    </row>
    <row r="101" spans="9:13" x14ac:dyDescent="0.35">
      <c r="I101" t="s">
        <v>577</v>
      </c>
      <c r="K101" s="38">
        <v>9</v>
      </c>
      <c r="L101" s="38" t="s">
        <v>560</v>
      </c>
      <c r="M101" s="38" t="s">
        <v>561</v>
      </c>
    </row>
    <row r="102" spans="9:13" x14ac:dyDescent="0.35">
      <c r="I102" t="s">
        <v>583</v>
      </c>
      <c r="K102" s="38">
        <v>9</v>
      </c>
      <c r="L102" s="38" t="s">
        <v>576</v>
      </c>
      <c r="M102" s="38"/>
    </row>
    <row r="103" spans="9:13" x14ac:dyDescent="0.35">
      <c r="K103" s="38">
        <v>9</v>
      </c>
      <c r="L103" s="38" t="s">
        <v>581</v>
      </c>
      <c r="M103" s="38" t="s">
        <v>582</v>
      </c>
    </row>
    <row r="104" spans="9:13" x14ac:dyDescent="0.35">
      <c r="K104" s="38">
        <v>0</v>
      </c>
      <c r="L104" s="38" t="s">
        <v>563</v>
      </c>
      <c r="M104" s="38"/>
    </row>
    <row r="105" spans="9:13" x14ac:dyDescent="0.35">
      <c r="K105" s="38">
        <v>0</v>
      </c>
      <c r="L105" s="38" t="s">
        <v>579</v>
      </c>
      <c r="M105" s="38" t="s">
        <v>580</v>
      </c>
    </row>
    <row r="106" spans="9:13" x14ac:dyDescent="0.35">
      <c r="K106" s="38"/>
      <c r="L106" s="38"/>
      <c r="M106" s="38"/>
    </row>
    <row r="107" spans="9:13" x14ac:dyDescent="0.35">
      <c r="K107" s="38"/>
      <c r="L107" s="38"/>
      <c r="M107" s="38"/>
    </row>
    <row r="108" spans="9:13" x14ac:dyDescent="0.35">
      <c r="K108" s="38"/>
      <c r="L108" s="38"/>
      <c r="M108" s="38"/>
    </row>
    <row r="109" spans="9:13" x14ac:dyDescent="0.35">
      <c r="K109" s="38"/>
      <c r="L109" s="38"/>
      <c r="M109" s="38"/>
    </row>
    <row r="110" spans="9:13" x14ac:dyDescent="0.35">
      <c r="K110" s="38"/>
      <c r="L110" s="38"/>
      <c r="M110" s="38"/>
    </row>
    <row r="111" spans="9:13" x14ac:dyDescent="0.35">
      <c r="K111" s="38"/>
      <c r="L111" s="38"/>
      <c r="M111" s="38"/>
    </row>
    <row r="112" spans="9:13" x14ac:dyDescent="0.35">
      <c r="K112" s="38"/>
      <c r="L112" s="38"/>
      <c r="M112" s="38"/>
    </row>
    <row r="113" spans="11:13" x14ac:dyDescent="0.35">
      <c r="K113" s="38"/>
      <c r="L113" s="38"/>
      <c r="M113" s="38"/>
    </row>
    <row r="114" spans="11:13" x14ac:dyDescent="0.35">
      <c r="K114" s="38"/>
      <c r="L114" s="38"/>
      <c r="M114" s="38"/>
    </row>
    <row r="115" spans="11:13" x14ac:dyDescent="0.35">
      <c r="K115" s="38"/>
      <c r="L115" s="38"/>
      <c r="M115" s="38"/>
    </row>
    <row r="116" spans="11:13" x14ac:dyDescent="0.35">
      <c r="K116" s="38"/>
      <c r="L116" s="38"/>
      <c r="M116" s="38"/>
    </row>
    <row r="117" spans="11:13" x14ac:dyDescent="0.35">
      <c r="K117" s="38"/>
      <c r="L117" s="38"/>
      <c r="M117" s="38"/>
    </row>
    <row r="118" spans="11:13" x14ac:dyDescent="0.35">
      <c r="K118" s="38"/>
      <c r="L118" s="38"/>
      <c r="M118" s="38"/>
    </row>
    <row r="119" spans="11:13" x14ac:dyDescent="0.35">
      <c r="K119" s="38"/>
      <c r="L119" s="38"/>
      <c r="M119" s="38"/>
    </row>
    <row r="120" spans="11:13" x14ac:dyDescent="0.35">
      <c r="K120" s="38"/>
      <c r="L120" s="38"/>
      <c r="M120" s="38"/>
    </row>
    <row r="121" spans="11:13" x14ac:dyDescent="0.35">
      <c r="K121" s="38"/>
      <c r="L121" s="38"/>
      <c r="M121" s="38"/>
    </row>
    <row r="122" spans="11:13" x14ac:dyDescent="0.35">
      <c r="K122" s="38"/>
      <c r="L122" s="38"/>
      <c r="M122" s="38"/>
    </row>
    <row r="123" spans="11:13" x14ac:dyDescent="0.35">
      <c r="K123" s="38"/>
      <c r="L123" s="38"/>
      <c r="M123" s="38"/>
    </row>
    <row r="124" spans="11:13" x14ac:dyDescent="0.35">
      <c r="K124" s="38"/>
      <c r="L124" s="38"/>
      <c r="M124" s="38"/>
    </row>
  </sheetData>
  <conditionalFormatting sqref="D4:D17">
    <cfRule type="dataBar" priority="23">
      <dataBar>
        <cfvo type="min"/>
        <cfvo type="max"/>
        <color rgb="FF638EC6"/>
      </dataBar>
      <extLst>
        <ext xmlns:x14="http://schemas.microsoft.com/office/spreadsheetml/2009/9/main" uri="{B025F937-C7B1-47D3-B67F-A62EFF666E3E}">
          <x14:id>{72502DB9-616B-439C-8FFD-66CFED680A49}</x14:id>
        </ext>
      </extLst>
    </cfRule>
  </conditionalFormatting>
  <conditionalFormatting sqref="G65:G76">
    <cfRule type="top10" dxfId="18" priority="21" percent="1" rank="5"/>
  </conditionalFormatting>
  <conditionalFormatting sqref="H65:H76">
    <cfRule type="top10" dxfId="17" priority="22" percent="1" rank="5"/>
  </conditionalFormatting>
  <conditionalFormatting sqref="I65:I76">
    <cfRule type="top10" dxfId="16" priority="20" percent="1" rank="15"/>
  </conditionalFormatting>
  <conditionalFormatting sqref="L65:L76">
    <cfRule type="top10" dxfId="15" priority="17" percent="1" rank="5"/>
  </conditionalFormatting>
  <conditionalFormatting sqref="E4:E17">
    <cfRule type="dataBar" priority="16">
      <dataBar>
        <cfvo type="min"/>
        <cfvo type="max"/>
        <color theme="7" tint="0.39997558519241921"/>
      </dataBar>
      <extLst>
        <ext xmlns:x14="http://schemas.microsoft.com/office/spreadsheetml/2009/9/main" uri="{B025F937-C7B1-47D3-B67F-A62EFF666E3E}">
          <x14:id>{7141AE8D-32CD-4CFE-BA65-5390C8501C97}</x14:id>
        </ext>
      </extLst>
    </cfRule>
  </conditionalFormatting>
  <conditionalFormatting sqref="L4:L17">
    <cfRule type="containsText" dxfId="14" priority="15" operator="containsText" text="Yes">
      <formula>NOT(ISERROR(SEARCH("Yes",L4)))</formula>
    </cfRule>
  </conditionalFormatting>
  <conditionalFormatting sqref="Q4:Q15">
    <cfRule type="cellIs" dxfId="13" priority="14" operator="lessThan">
      <formula>0</formula>
    </cfRule>
  </conditionalFormatting>
  <conditionalFormatting sqref="C28:C42">
    <cfRule type="cellIs" dxfId="12" priority="6" operator="greaterThan">
      <formula>0.9</formula>
    </cfRule>
    <cfRule type="cellIs" dxfId="11" priority="13" operator="lessThan">
      <formula>0.6</formula>
    </cfRule>
  </conditionalFormatting>
  <conditionalFormatting sqref="C44:C61">
    <cfRule type="cellIs" dxfId="10" priority="3" operator="greaterThan">
      <formula>0.9</formula>
    </cfRule>
    <cfRule type="cellIs" dxfId="9" priority="12" operator="lessThan">
      <formula>0.6</formula>
    </cfRule>
  </conditionalFormatting>
  <conditionalFormatting sqref="E28:E42">
    <cfRule type="cellIs" dxfId="8" priority="5" operator="greaterThan">
      <formula>0.9</formula>
    </cfRule>
    <cfRule type="cellIs" dxfId="7" priority="11" operator="lessThan">
      <formula>0.6</formula>
    </cfRule>
  </conditionalFormatting>
  <conditionalFormatting sqref="H28:H42">
    <cfRule type="cellIs" dxfId="6" priority="4" operator="greaterThan">
      <formula>0.9</formula>
    </cfRule>
    <cfRule type="cellIs" dxfId="5" priority="10" operator="lessThan">
      <formula>0.6</formula>
    </cfRule>
  </conditionalFormatting>
  <conditionalFormatting sqref="E44:E61">
    <cfRule type="cellIs" dxfId="4" priority="2" operator="greaterThan">
      <formula>0.9</formula>
    </cfRule>
    <cfRule type="cellIs" dxfId="3" priority="9" operator="lessThan">
      <formula>0.6</formula>
    </cfRule>
  </conditionalFormatting>
  <conditionalFormatting sqref="H44:H61">
    <cfRule type="cellIs" dxfId="2" priority="1" operator="greaterThan">
      <formula>0.9</formula>
    </cfRule>
    <cfRule type="cellIs" dxfId="1" priority="8" operator="lessThan">
      <formula>0.6</formula>
    </cfRule>
  </conditionalFormatting>
  <conditionalFormatting sqref="B25:E25">
    <cfRule type="cellIs" dxfId="0" priority="7" operator="lessThan">
      <formula>0.6</formula>
    </cfRule>
  </conditionalFormatting>
  <dataValidations count="1">
    <dataValidation type="list" allowBlank="1" showInputMessage="1" showErrorMessage="1" sqref="B20 P4:P15" xr:uid="{D4B8B237-6947-4A17-89A8-C2599C4AEB4C}">
      <formula1>$A$4:$A$17</formula1>
    </dataValidation>
  </dataValidations>
  <pageMargins left="0.7" right="0.7" top="0.75" bottom="0.75" header="0.3" footer="0.3"/>
  <pageSetup orientation="portrait" r:id="rId1"/>
  <ignoredErrors>
    <ignoredError sqref="K4 K11 K15 C17 C11 C4:C10 C12:C16 Y4:Y15 G66:G76" calculatedColumn="1"/>
  </ignoredErrors>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extLst>
    <ext xmlns:x14="http://schemas.microsoft.com/office/spreadsheetml/2009/9/main" uri="{78C0D931-6437-407d-A8EE-F0AAD7539E65}">
      <x14:conditionalFormattings>
        <x14:conditionalFormatting xmlns:xm="http://schemas.microsoft.com/office/excel/2006/main">
          <x14:cfRule type="dataBar" id="{72502DB9-616B-439C-8FFD-66CFED680A49}">
            <x14:dataBar minLength="0" maxLength="100" gradient="0">
              <x14:cfvo type="autoMin"/>
              <x14:cfvo type="autoMax"/>
              <x14:negativeFillColor rgb="FFFF0000"/>
              <x14:axisColor rgb="FF000000"/>
            </x14:dataBar>
          </x14:cfRule>
          <xm:sqref>D4:D17</xm:sqref>
        </x14:conditionalFormatting>
        <x14:conditionalFormatting xmlns:xm="http://schemas.microsoft.com/office/excel/2006/main">
          <x14:cfRule type="dataBar" id="{7141AE8D-32CD-4CFE-BA65-5390C8501C97}">
            <x14:dataBar minLength="0" maxLength="100" gradient="0">
              <x14:cfvo type="autoMin"/>
              <x14:cfvo type="autoMax"/>
              <x14:negativeFillColor rgb="FFFF0000"/>
              <x14:axisColor rgb="FF000000"/>
            </x14:dataBar>
          </x14:cfRule>
          <xm:sqref>E4:E17</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18AFB611-27D3-4D03-BEAB-DF1914132D49}">
          <x14:formula1>
            <xm:f>'Rules of the Game'!$D$1:$D$2</xm:f>
          </x14:formula1>
          <xm:sqref>L4:L17</xm:sqref>
        </x14:dataValidation>
        <x14:dataValidation type="list" allowBlank="1" showInputMessage="1" showErrorMessage="1" xr:uid="{960D9F92-C2B2-4806-8F0F-CC906FC749AD}">
          <x14:formula1>
            <xm:f>'Rules of the Game'!$D$9:$D$14</xm:f>
          </x14:formula1>
          <xm:sqref>B23</xm:sqref>
        </x14:dataValidation>
        <x14:dataValidation type="list" allowBlank="1" showInputMessage="1" showErrorMessage="1" xr:uid="{2EBD9D65-A142-4A2D-924E-58D47DA27C38}">
          <x14:formula1>
            <xm:f>'Rules of the Game'!$V$3:$V$44</xm:f>
          </x14:formula1>
          <xm:sqref>B22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912A2-CA5F-4747-9864-1B5B76CB07E0}">
  <sheetPr codeName="Sheet17"/>
  <dimension ref="A1:P68"/>
  <sheetViews>
    <sheetView zoomScale="85" zoomScaleNormal="115" workbookViewId="0">
      <selection activeCell="F17" sqref="F17"/>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14.54296875" bestFit="1" customWidth="1"/>
    <col min="7" max="7" width="19.1796875" bestFit="1" customWidth="1"/>
    <col min="8" max="8" width="27.1796875" bestFit="1" customWidth="1"/>
    <col min="9" max="9" width="16.81640625" customWidth="1"/>
    <col min="10" max="10" width="19.1796875" customWidth="1"/>
    <col min="11" max="11" width="18.54296875" customWidth="1"/>
    <col min="12" max="12" width="15.54296875" customWidth="1"/>
    <col min="13" max="13" width="16.453125" customWidth="1"/>
    <col min="15" max="15" width="27.1796875" bestFit="1"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12</v>
      </c>
      <c r="C2">
        <f>VLOOKUP(Table5112[[#This Row],[Score]],Modifier[],2,FALSE)</f>
        <v>1</v>
      </c>
      <c r="D2" t="s">
        <v>86</v>
      </c>
      <c r="E2">
        <f>IF(Table5112[[#This Row],[Proficiency?]]="No",Table5112[[#This Row],[Modifiers]],VLOOKUP($F$16,Proficiency[],2,FALSE)+Table5112[[#This Row],[Modifiers]])</f>
        <v>6</v>
      </c>
    </row>
    <row r="3" spans="1:16" x14ac:dyDescent="0.35">
      <c r="A3" t="s">
        <v>1</v>
      </c>
      <c r="B3">
        <v>18</v>
      </c>
      <c r="C3">
        <f>VLOOKUP(Table5112[[#This Row],[Score]],Modifier[],2,FALSE)</f>
        <v>4</v>
      </c>
      <c r="D3" t="s">
        <v>86</v>
      </c>
      <c r="E3">
        <f>IF(Table5112[[#This Row],[Proficiency?]]="No",Table5112[[#This Row],[Modifiers]],VLOOKUP($F$16,Proficiency[],2,FALSE)+Table5112[[#This Row],[Modifiers]])</f>
        <v>9</v>
      </c>
    </row>
    <row r="4" spans="1:16" x14ac:dyDescent="0.35">
      <c r="A4" t="s">
        <v>2</v>
      </c>
      <c r="B4">
        <v>16</v>
      </c>
      <c r="C4">
        <f>VLOOKUP(Table5112[[#This Row],[Score]],Modifier[],2,FALSE)</f>
        <v>3</v>
      </c>
      <c r="D4" t="s">
        <v>87</v>
      </c>
      <c r="E4">
        <f>IF(Table5112[[#This Row],[Proficiency?]]="No",Table5112[[#This Row],[Modifiers]],VLOOKUP($F$16,Proficiency[],2,FALSE)+Table5112[[#This Row],[Modifiers]])</f>
        <v>3</v>
      </c>
    </row>
    <row r="5" spans="1:16" x14ac:dyDescent="0.35">
      <c r="A5" t="s">
        <v>3</v>
      </c>
      <c r="B5">
        <v>11</v>
      </c>
      <c r="C5">
        <f>VLOOKUP(Table5112[[#This Row],[Score]],Modifier[],2,FALSE)</f>
        <v>0</v>
      </c>
      <c r="D5" t="s">
        <v>87</v>
      </c>
      <c r="E5">
        <f>IF(Table5112[[#This Row],[Proficiency?]]="No",Table5112[[#This Row],[Modifiers]],VLOOKUP($F$16,Proficiency[],2,FALSE)+Table5112[[#This Row],[Modifiers]])</f>
        <v>0</v>
      </c>
    </row>
    <row r="6" spans="1:16" x14ac:dyDescent="0.35">
      <c r="A6" t="s">
        <v>4</v>
      </c>
      <c r="B6">
        <v>18</v>
      </c>
      <c r="C6">
        <f>VLOOKUP(Table5112[[#This Row],[Score]],Modifier[],2,FALSE)</f>
        <v>4</v>
      </c>
      <c r="D6" t="s">
        <v>87</v>
      </c>
      <c r="E6">
        <f>IF(Table5112[[#This Row],[Proficiency?]]="No",Table5112[[#This Row],[Modifiers]],VLOOKUP($F$16,Proficiency[],2,FALSE)+Table5112[[#This Row],[Modifiers]])</f>
        <v>4</v>
      </c>
    </row>
    <row r="7" spans="1:16" x14ac:dyDescent="0.35">
      <c r="A7" t="s">
        <v>5</v>
      </c>
      <c r="B7">
        <v>12</v>
      </c>
      <c r="C7">
        <f>VLOOKUP(Table5112[[#This Row],[Score]],Modifier[],2,FALSE)</f>
        <v>1</v>
      </c>
      <c r="D7" t="s">
        <v>87</v>
      </c>
      <c r="E7">
        <f>IF(Table5112[[#This Row],[Proficiency?]]="No",Table5112[[#This Row],[Modifiers]],VLOOKUP($F$16,Proficiency[],2,FALSE)+Table5112[[#This Row],[Modifiers]])</f>
        <v>1</v>
      </c>
    </row>
    <row r="10" spans="1:16" x14ac:dyDescent="0.35">
      <c r="A10" t="s">
        <v>90</v>
      </c>
      <c r="B10" t="s">
        <v>91</v>
      </c>
      <c r="C10" t="s">
        <v>13</v>
      </c>
      <c r="E10" t="s">
        <v>116</v>
      </c>
      <c r="F10" s="9" t="s">
        <v>87</v>
      </c>
      <c r="H10" s="1" t="s">
        <v>142</v>
      </c>
      <c r="I10" s="1" t="s">
        <v>135</v>
      </c>
      <c r="O10" s="1" t="s">
        <v>157</v>
      </c>
      <c r="P10" s="1" t="s">
        <v>135</v>
      </c>
    </row>
    <row r="11" spans="1:16" x14ac:dyDescent="0.35">
      <c r="A11" t="s">
        <v>94</v>
      </c>
      <c r="B11" t="s">
        <v>84</v>
      </c>
      <c r="C11">
        <f>VLOOKUP(VLOOKUP(Table9113[[#This Row],[Skills]],Table10[],2,FALSE),Table5112[[Ability]:[Modifiers]],3,FALSE)+VLOOKUP(Table9113[[#This Row],[Proficiency Level]],Table11[],3,FALSE)</f>
        <v>13</v>
      </c>
      <c r="E11" t="s">
        <v>117</v>
      </c>
      <c r="F11" s="9" t="s">
        <v>258</v>
      </c>
    </row>
    <row r="12" spans="1:16" x14ac:dyDescent="0.35">
      <c r="A12" t="s">
        <v>95</v>
      </c>
      <c r="B12" t="s">
        <v>92</v>
      </c>
      <c r="C12">
        <f>VLOOKUP(VLOOKUP(Table9113[[#This Row],[Skills]],Table10[],2,FALSE),Table5112[[Ability]:[Modifiers]],3,FALSE)+VLOOKUP(Table9113[[#This Row],[Proficiency Level]],Table11[],3,FALSE)</f>
        <v>4</v>
      </c>
      <c r="E12" t="s">
        <v>122</v>
      </c>
      <c r="F12" s="10">
        <f>IF(ISNUMBER(VLOOKUP(Dim!F11,Table12[],3,FALSE))=FALSE,IF(VLOOKUP(Dim!F11,Table12[],3,FALSE)="Yes",Dim!$C$3,0),VLOOKUP(Dim!F11,Table12[],3,FALSE))</f>
        <v>4</v>
      </c>
    </row>
    <row r="13" spans="1:16" x14ac:dyDescent="0.35">
      <c r="A13" t="s">
        <v>96</v>
      </c>
      <c r="B13" t="s">
        <v>92</v>
      </c>
      <c r="C13">
        <f>VLOOKUP(VLOOKUP(Table9113[[#This Row],[Skills]],Table10[],2,FALSE),Table5112[[Ability]:[Modifiers]],3,FALSE)+VLOOKUP(Table9113[[#This Row],[Proficiency Level]],Table11[],3,FALSE)</f>
        <v>0</v>
      </c>
      <c r="E13" t="s">
        <v>123</v>
      </c>
      <c r="F13" s="9">
        <v>0</v>
      </c>
    </row>
    <row r="14" spans="1:16" x14ac:dyDescent="0.35">
      <c r="A14" t="s">
        <v>97</v>
      </c>
      <c r="B14" t="s">
        <v>84</v>
      </c>
      <c r="C14">
        <f>VLOOKUP(VLOOKUP(Table9113[[#This Row],[Skills]],Table10[],2,FALSE),Table5112[[Ability]:[Modifiers]],3,FALSE)+VLOOKUP(Table9113[[#This Row],[Proficiency Level]],Table11[],3,FALSE)</f>
        <v>10</v>
      </c>
    </row>
    <row r="15" spans="1:16" x14ac:dyDescent="0.35">
      <c r="A15" t="s">
        <v>98</v>
      </c>
      <c r="B15" t="s">
        <v>92</v>
      </c>
      <c r="C15">
        <f>VLOOKUP(VLOOKUP(Table9113[[#This Row],[Skills]],Table10[],2,FALSE),Table5112[[Ability]:[Modifiers]],3,FALSE)+VLOOKUP(Table9113[[#This Row],[Proficiency Level]],Table11[],3,FALSE)</f>
        <v>1</v>
      </c>
    </row>
    <row r="16" spans="1:16" x14ac:dyDescent="0.35">
      <c r="A16" t="s">
        <v>99</v>
      </c>
      <c r="B16" t="s">
        <v>92</v>
      </c>
      <c r="C16">
        <f>VLOOKUP(VLOOKUP(Table9113[[#This Row],[Skills]],Table10[],2,FALSE),Table5112[[Ability]:[Modifiers]],3,FALSE)+VLOOKUP(Table9113[[#This Row],[Proficiency Level]],Table11[],3,FALSE)</f>
        <v>0</v>
      </c>
      <c r="E16" s="1" t="s">
        <v>88</v>
      </c>
      <c r="F16" s="9">
        <v>13</v>
      </c>
    </row>
    <row r="17" spans="1:14" x14ac:dyDescent="0.35">
      <c r="A17" t="s">
        <v>100</v>
      </c>
      <c r="B17" t="s">
        <v>92</v>
      </c>
      <c r="C17">
        <f>VLOOKUP(VLOOKUP(Table9113[[#This Row],[Skills]],Table10[],2,FALSE),Table5112[[Ability]:[Modifiers]],3,FALSE)+VLOOKUP(Table9113[[#This Row],[Proficiency Level]],Table11[],3,FALSE)</f>
        <v>4</v>
      </c>
      <c r="E17" s="1" t="s">
        <v>115</v>
      </c>
      <c r="F17" s="10">
        <f>IF(Facade!F10="Yes",VLOOKUP(F11,Table12[],2,FALSE)+Facade!F12+2+F13,VLOOKUP(F11,Table12[],2,FALSE)+Facade!F12+F13)+SUM(Table5557117[Applied AC Bonus])</f>
        <v>17</v>
      </c>
    </row>
    <row r="18" spans="1:14" x14ac:dyDescent="0.35">
      <c r="A18" t="s">
        <v>101</v>
      </c>
      <c r="B18" t="s">
        <v>84</v>
      </c>
      <c r="C18">
        <f>VLOOKUP(VLOOKUP(Table9113[[#This Row],[Skills]],Table10[],2,FALSE),Table5112[[Ability]:[Modifiers]],3,FALSE)+VLOOKUP(Table9113[[#This Row],[Proficiency Level]],Table11[],3,FALSE)</f>
        <v>10</v>
      </c>
      <c r="E18" s="1" t="s">
        <v>132</v>
      </c>
      <c r="F18" s="12">
        <f>SUM(Table13114[[Average ]])</f>
        <v>104.5</v>
      </c>
    </row>
    <row r="19" spans="1:14" x14ac:dyDescent="0.35">
      <c r="A19" t="s">
        <v>102</v>
      </c>
      <c r="B19" t="s">
        <v>92</v>
      </c>
      <c r="C19">
        <f>VLOOKUP(VLOOKUP(Table9113[[#This Row],[Skills]],Table10[],2,FALSE),Table5112[[Ability]:[Modifiers]],3,FALSE)+VLOOKUP(Table9113[[#This Row],[Proficiency Level]],Table11[],3,FALSE)</f>
        <v>0</v>
      </c>
      <c r="E19" s="1" t="s">
        <v>178</v>
      </c>
      <c r="F19" s="10">
        <f>8+VLOOKUP("Wisdom",Table5112[],3,FALSE)+VLOOKUP(F16,Proficiency[],2,FALSE)</f>
        <v>17</v>
      </c>
    </row>
    <row r="20" spans="1:14" x14ac:dyDescent="0.35">
      <c r="A20" t="s">
        <v>103</v>
      </c>
      <c r="B20" t="s">
        <v>92</v>
      </c>
      <c r="C20">
        <f>VLOOKUP(VLOOKUP(Table9113[[#This Row],[Skills]],Table10[],2,FALSE),Table5112[[Ability]:[Modifiers]],3,FALSE)+VLOOKUP(Table9113[[#This Row],[Proficiency Level]],Table11[],3,FALSE)</f>
        <v>4</v>
      </c>
    </row>
    <row r="21" spans="1:14" x14ac:dyDescent="0.35">
      <c r="A21" t="s">
        <v>104</v>
      </c>
      <c r="B21" t="s">
        <v>92</v>
      </c>
      <c r="C21">
        <f>VLOOKUP(VLOOKUP(Table9113[[#This Row],[Skills]],Table10[],2,FALSE),Table5112[[Ability]:[Modifiers]],3,FALSE)+VLOOKUP(Table9113[[#This Row],[Proficiency Level]],Table11[],3,FALSE)</f>
        <v>0</v>
      </c>
      <c r="E21" s="14" t="s">
        <v>209</v>
      </c>
      <c r="F21" s="10">
        <f>10+C22</f>
        <v>23</v>
      </c>
      <c r="H21" s="1" t="s">
        <v>210</v>
      </c>
    </row>
    <row r="22" spans="1:14" x14ac:dyDescent="0.35">
      <c r="A22" t="s">
        <v>105</v>
      </c>
      <c r="B22" t="s">
        <v>84</v>
      </c>
      <c r="C22">
        <f>VLOOKUP(VLOOKUP(Table9113[[#This Row],[Skills]],Table10[],2,FALSE),Table5112[[Ability]:[Modifiers]],3,FALSE)+VLOOKUP(Table9113[[#This Row],[Proficiency Level]],Table11[],3,FALSE)</f>
        <v>13</v>
      </c>
      <c r="E22" s="14" t="s">
        <v>602</v>
      </c>
      <c r="F22" s="10"/>
    </row>
    <row r="23" spans="1:14" x14ac:dyDescent="0.35">
      <c r="A23" t="s">
        <v>106</v>
      </c>
      <c r="B23" t="s">
        <v>92</v>
      </c>
      <c r="C23">
        <f>VLOOKUP(VLOOKUP(Table9113[[#This Row],[Skills]],Table10[],2,FALSE),Table5112[[Ability]:[Modifiers]],3,FALSE)+VLOOKUP(Table9113[[#This Row],[Proficiency Level]],Table11[],3,FALSE)</f>
        <v>1</v>
      </c>
    </row>
    <row r="24" spans="1:14" x14ac:dyDescent="0.35">
      <c r="A24" t="s">
        <v>107</v>
      </c>
      <c r="B24" t="s">
        <v>92</v>
      </c>
      <c r="C24">
        <f>VLOOKUP(VLOOKUP(Table9113[[#This Row],[Skills]],Table10[],2,FALSE),Table5112[[Ability]:[Modifiers]],3,FALSE)+VLOOKUP(Table9113[[#This Row],[Proficiency Level]],Table11[],3,FALSE)</f>
        <v>1</v>
      </c>
    </row>
    <row r="25" spans="1:14" x14ac:dyDescent="0.35">
      <c r="A25" t="s">
        <v>108</v>
      </c>
      <c r="B25" t="s">
        <v>92</v>
      </c>
      <c r="C25">
        <f>VLOOKUP(VLOOKUP(Table9113[[#This Row],[Skills]],Table10[],2,FALSE),Table5112[[Ability]:[Modifiers]],3,FALSE)+VLOOKUP(Table9113[[#This Row],[Proficiency Level]],Table11[],3,FALSE)</f>
        <v>0</v>
      </c>
      <c r="G25" t="s">
        <v>311</v>
      </c>
    </row>
    <row r="26" spans="1:14" x14ac:dyDescent="0.35">
      <c r="A26" t="s">
        <v>109</v>
      </c>
      <c r="B26" t="s">
        <v>84</v>
      </c>
      <c r="C26">
        <f>VLOOKUP(VLOOKUP(Table9113[[#This Row],[Skills]],Table10[],2,FALSE),Table5112[[Ability]:[Modifiers]],3,FALSE)+VLOOKUP(Table9113[[#This Row],[Proficiency Level]],Table11[],3,FALSE)</f>
        <v>13</v>
      </c>
      <c r="G26" t="s">
        <v>171</v>
      </c>
      <c r="H26" t="s">
        <v>318</v>
      </c>
      <c r="I26" t="s">
        <v>313</v>
      </c>
      <c r="J26" t="s">
        <v>312</v>
      </c>
      <c r="K26" t="s">
        <v>314</v>
      </c>
      <c r="L26" t="s">
        <v>320</v>
      </c>
      <c r="M26" t="s">
        <v>317</v>
      </c>
      <c r="N26" t="s">
        <v>319</v>
      </c>
    </row>
    <row r="27" spans="1:14" x14ac:dyDescent="0.35">
      <c r="A27" t="s">
        <v>110</v>
      </c>
      <c r="B27" t="s">
        <v>84</v>
      </c>
      <c r="C27">
        <f>VLOOKUP(VLOOKUP(Table9113[[#This Row],[Skills]],Table10[],2,FALSE),Table5112[[Ability]:[Modifiers]],3,FALSE)+VLOOKUP(Table9113[[#This Row],[Proficiency Level]],Table11[],3,FALSE)</f>
        <v>13</v>
      </c>
      <c r="G27" t="s">
        <v>684</v>
      </c>
      <c r="H27">
        <f>$C$3+VLOOKUP($F$16,Proficiency[],2,FALSE)</f>
        <v>9</v>
      </c>
      <c r="I27">
        <v>1</v>
      </c>
      <c r="J27">
        <v>10</v>
      </c>
      <c r="K27">
        <f>$C$3</f>
        <v>4</v>
      </c>
      <c r="L27">
        <f>Table4975115[[#This Row],['# of Dice]]*(Table4975115[[#This Row],[Damage Dice]]/2)+Table4975115[[#This Row],[Bonus Damage]]</f>
        <v>9</v>
      </c>
      <c r="N27">
        <v>0</v>
      </c>
    </row>
    <row r="28" spans="1:14" x14ac:dyDescent="0.35">
      <c r="A28" t="s">
        <v>111</v>
      </c>
      <c r="B28" t="s">
        <v>92</v>
      </c>
      <c r="C28">
        <f>VLOOKUP(VLOOKUP(Table9113[[#This Row],[Skills]],Table10[],2,FALSE),Table5112[[Ability]:[Modifiers]],3,FALSE)+VLOOKUP(Table9113[[#This Row],[Proficiency Level]],Table11[],3,FALSE)</f>
        <v>4</v>
      </c>
      <c r="G28" t="s">
        <v>506</v>
      </c>
      <c r="H28">
        <f>$C$5+VLOOKUP($F$16,Proficiency[],2,FALSE)</f>
        <v>5</v>
      </c>
      <c r="I28">
        <v>4</v>
      </c>
      <c r="J28">
        <v>8</v>
      </c>
      <c r="K28">
        <f t="shared" ref="K28" si="0">$C$2</f>
        <v>1</v>
      </c>
      <c r="L28">
        <f>Table4975115[[#This Row],['# of Dice]]*(Table4975115[[#This Row],[Damage Dice]]/2)+Table4975115[[#This Row],[Bonus Damage]]</f>
        <v>17</v>
      </c>
      <c r="N28">
        <v>5</v>
      </c>
    </row>
    <row r="29" spans="1:14" x14ac:dyDescent="0.35">
      <c r="G29" t="s">
        <v>507</v>
      </c>
      <c r="H29" s="2">
        <f>$C$5+VLOOKUP($F$16,Proficiency[],2,FALSE)</f>
        <v>5</v>
      </c>
      <c r="I29">
        <v>4</v>
      </c>
      <c r="J29">
        <v>10</v>
      </c>
      <c r="K29" s="2">
        <f>$C$2</f>
        <v>1</v>
      </c>
      <c r="L29">
        <f>Table4975115[[#This Row],['# of Dice]]*(Table4975115[[#This Row],[Damage Dice]]/2)+Table4975115[[#This Row],[Bonus Damage]]</f>
        <v>21</v>
      </c>
      <c r="N29">
        <v>120</v>
      </c>
    </row>
    <row r="30" spans="1:14" x14ac:dyDescent="0.35">
      <c r="G30" t="s">
        <v>508</v>
      </c>
      <c r="H30" s="2">
        <f>$C$3+VLOOKUP($F$16,Proficiency[],2,FALSE)</f>
        <v>9</v>
      </c>
      <c r="I30">
        <v>1</v>
      </c>
      <c r="J30">
        <v>4</v>
      </c>
      <c r="K30" s="2">
        <f>$C$3</f>
        <v>4</v>
      </c>
      <c r="L30" s="2">
        <f>Table4975115[[#This Row],['# of Dice]]*Table4975115[[#This Row],[Damage Dice]]+Table4975115[[#This Row],[Bonus Damage]]</f>
        <v>8</v>
      </c>
    </row>
    <row r="31" spans="1:14" x14ac:dyDescent="0.35">
      <c r="A31" t="s">
        <v>124</v>
      </c>
      <c r="B31" t="s">
        <v>125</v>
      </c>
      <c r="C31" t="s">
        <v>130</v>
      </c>
      <c r="D31" t="s">
        <v>133</v>
      </c>
      <c r="G31" t="s">
        <v>326</v>
      </c>
      <c r="H31" s="2">
        <f>$C$3+VLOOKUP($F$16,Proficiency[],2,FALSE)</f>
        <v>9</v>
      </c>
      <c r="I31">
        <v>1</v>
      </c>
      <c r="J31">
        <v>8</v>
      </c>
      <c r="K31" s="2">
        <f>$C$3</f>
        <v>4</v>
      </c>
      <c r="L31" s="2">
        <f>Table4975115[[#This Row],['# of Dice]]*Table4975115[[#This Row],[Damage Dice]]+Table4975115[[#This Row],[Bonus Damage]]</f>
        <v>12</v>
      </c>
    </row>
    <row r="32" spans="1:14" x14ac:dyDescent="0.35">
      <c r="A32" t="s">
        <v>681</v>
      </c>
      <c r="B32">
        <v>8</v>
      </c>
      <c r="C32">
        <v>6</v>
      </c>
      <c r="D32">
        <f>(((Table13114[[#This Row],[Hit Dice]]/2)+0.5)+VLOOKUP("Constitution",Table5112[[Ability]:[Modifiers]],3,FALSE))*Table13114[[#This Row],[Levels]]</f>
        <v>45</v>
      </c>
      <c r="G32" s="9" t="s">
        <v>679</v>
      </c>
      <c r="H32">
        <f>VLOOKUP(VLOOKUP(Table4975115[[#This Row],[Name]],Weapons[],4,FALSE),Table515[[Ability]:[Modifiers]],3,FALSE)+VLOOKUP($F$16,Proficiency[],2,FALSE)</f>
        <v>8</v>
      </c>
      <c r="I32">
        <f>VLOOKUP(Table4975115[[#This Row],[Name]],Weapons[],2,FALSE)</f>
        <v>1</v>
      </c>
      <c r="J32">
        <f>VLOOKUP(Table4975115[[#This Row],[Name]],Weapons[],3,FALSE)</f>
        <v>10</v>
      </c>
      <c r="K32">
        <f>VLOOKUP(VLOOKUP(Table4975115[[#This Row],[Name]],Weapons[],4,FALSE),Table515[],3,FALSE)</f>
        <v>3</v>
      </c>
      <c r="L32">
        <f>Table4975115[[#This Row],['# of Dice]]*((Table4975115[[#This Row],[Damage Dice]]/2)+0.5)+Table4975115[[#This Row],[Bonus Damage]]</f>
        <v>8.5</v>
      </c>
    </row>
    <row r="33" spans="1:13" x14ac:dyDescent="0.35">
      <c r="A33" t="s">
        <v>682</v>
      </c>
      <c r="B33">
        <v>10</v>
      </c>
      <c r="C33">
        <v>4</v>
      </c>
      <c r="D33" s="11">
        <f>(((Table13114[[#This Row],[Hit Dice]]/2)+0.5)+VLOOKUP("Constitution",Table5112[[Ability]:[Modifiers]],3,FALSE))*Table13114[[#This Row],[Levels]]</f>
        <v>34</v>
      </c>
    </row>
    <row r="34" spans="1:13" x14ac:dyDescent="0.35">
      <c r="A34" t="s">
        <v>683</v>
      </c>
      <c r="B34">
        <v>10</v>
      </c>
      <c r="C34">
        <v>3</v>
      </c>
      <c r="D34" s="11">
        <f>(((Table13114[[#This Row],[Hit Dice]]/2)+0.5)+VLOOKUP("Constitution",Table5112[[Ability]:[Modifiers]],3,FALSE))*Table13114[[#This Row],[Levels]]</f>
        <v>25.5</v>
      </c>
    </row>
    <row r="35" spans="1:13" x14ac:dyDescent="0.35">
      <c r="D35" s="11"/>
      <c r="G35" t="s">
        <v>416</v>
      </c>
      <c r="H35" s="9" t="s">
        <v>601</v>
      </c>
      <c r="J35" t="s">
        <v>115</v>
      </c>
      <c r="K35" s="10">
        <f>VLOOKUP($H$35,Enemies[[Creature ]:[AC]],3,FALSE)</f>
        <v>18</v>
      </c>
    </row>
    <row r="36" spans="1:13" x14ac:dyDescent="0.35">
      <c r="G36" t="s">
        <v>149</v>
      </c>
      <c r="H36" t="s">
        <v>417</v>
      </c>
      <c r="I36" t="s">
        <v>419</v>
      </c>
      <c r="J36" t="s">
        <v>418</v>
      </c>
      <c r="K36" t="s">
        <v>420</v>
      </c>
      <c r="L36" t="s">
        <v>422</v>
      </c>
      <c r="M36" t="s">
        <v>421</v>
      </c>
    </row>
    <row r="37" spans="1:13" x14ac:dyDescent="0.35">
      <c r="A37" s="13" t="s">
        <v>167</v>
      </c>
      <c r="G37" t="str">
        <f>G27</f>
        <v>Unarmored Strike</v>
      </c>
      <c r="H37" s="23">
        <f>VLOOKUP($K$35-VLOOKUP($F$16,Proficiency[],2,FALSE),'Rules of the Game'!$G$88:$T$108,3,FALSE)</f>
        <v>0.39999999999999997</v>
      </c>
      <c r="I37" s="22">
        <f>(VLOOKUP(Table6276116[[#This Row],[Attack]],Table4975115[],6,FALSE)*Table6276116[[#This Row],[% to Hit]])+(0.05*2*VLOOKUP(Table6276116[[#This Row],[Attack]],Table4975115[],6,FALSE))</f>
        <v>4.5</v>
      </c>
      <c r="J37" s="23">
        <f>VLOOKUP($K$35-VLOOKUP($F$16,Proficiency[],2,FALSE),'Rules of the Game'!$G$88:$T$107,6,FALSE)</f>
        <v>0.64</v>
      </c>
      <c r="K37" s="22">
        <f>(VLOOKUP(Table6276116[[#This Row],[Attack]],Table4975115[],6,FALSE)*Table6276116[[#This Row],[% ADV]])+(0.1*2*VLOOKUP(Table6276116[[#This Row],[Attack]],Table4975115[],6,FALSE))</f>
        <v>7.56</v>
      </c>
      <c r="L37" s="23">
        <f>VLOOKUP($K$35-VLOOKUP($F$16,Proficiency[],2,FALSE),'Rules of the Game'!$G$88:$T$107,7,FALSE)</f>
        <v>0.42249999999999999</v>
      </c>
      <c r="M37" s="11">
        <f>(VLOOKUP(Table6276116[[#This Row],[Attack]],Table4975115[],6,FALSE)*Table6276116[[#This Row],[% DIS]])+(0.0025*2*VLOOKUP(Table6276116[[#This Row],[Attack]],Table4975115[],6,FALSE))</f>
        <v>3.8474999999999997</v>
      </c>
    </row>
    <row r="38" spans="1:13" x14ac:dyDescent="0.35">
      <c r="A38" s="1" t="s">
        <v>50</v>
      </c>
      <c r="B38" s="1" t="s">
        <v>171</v>
      </c>
      <c r="G38" t="str">
        <f>G28</f>
        <v>Ray of Frost</v>
      </c>
      <c r="H38" s="23">
        <f>VLOOKUP($K$35-VLOOKUP($F$16,Proficiency[],2,FALSE),'Rules of the Game'!$G$88:$T$108,3,FALSE)</f>
        <v>0.39999999999999997</v>
      </c>
      <c r="I38" s="22">
        <f>(VLOOKUP(Table6276116[[#This Row],[Attack]],Table4975115[],6,FALSE)*Table6276116[[#This Row],[% to Hit]])+(0.05*2*VLOOKUP(Table6276116[[#This Row],[Attack]],Table4975115[],6,FALSE))</f>
        <v>8.5</v>
      </c>
      <c r="J38" s="23">
        <f>VLOOKUP($K$35-VLOOKUP($F$16,Proficiency[],2,FALSE),'Rules of the Game'!$G$88:$T$107,6,FALSE)</f>
        <v>0.64</v>
      </c>
      <c r="K38" s="22">
        <f>(VLOOKUP(Table6276116[[#This Row],[Attack]],Table4975115[],6,FALSE)*Table6276116[[#This Row],[% ADV]])+(0.1*2*VLOOKUP(Table6276116[[#This Row],[Attack]],Table4975115[],6,FALSE))</f>
        <v>14.280000000000001</v>
      </c>
      <c r="L38" s="23">
        <f>VLOOKUP($K$35-VLOOKUP($F$16,Proficiency[],2,FALSE),'Rules of the Game'!$G$88:$T$107,7,FALSE)</f>
        <v>0.42249999999999999</v>
      </c>
      <c r="M38" s="11">
        <f>(VLOOKUP(Table6276116[[#This Row],[Attack]],Table4975115[],6,FALSE)*Table6276116[[#This Row],[% DIS]])+(0.0025*2*VLOOKUP(Table6276116[[#This Row],[Attack]],Table4975115[],6,FALSE))</f>
        <v>7.2675000000000001</v>
      </c>
    </row>
    <row r="39" spans="1:13" x14ac:dyDescent="0.35">
      <c r="A39">
        <v>1</v>
      </c>
      <c r="B39" t="s">
        <v>47</v>
      </c>
      <c r="G39" s="2" t="str">
        <f>G29</f>
        <v>Firebolt</v>
      </c>
      <c r="H39" s="23">
        <f>VLOOKUP($K$35-VLOOKUP($F$16,Proficiency[],2,FALSE),'Rules of the Game'!$G$88:$T$108,3,FALSE)</f>
        <v>0.39999999999999997</v>
      </c>
      <c r="I39" s="22">
        <f>(VLOOKUP(Table6276116[[#This Row],[Attack]],Table4975115[],6,FALSE)*Table6276116[[#This Row],[% to Hit]])+(0.05*2*VLOOKUP(Table6276116[[#This Row],[Attack]],Table4975115[],6,FALSE))</f>
        <v>10.499999999999998</v>
      </c>
      <c r="J39" s="23">
        <f>VLOOKUP($K$35-VLOOKUP($F$16,Proficiency[],2,FALSE),'Rules of the Game'!$G$88:$T$107,6,FALSE)</f>
        <v>0.64</v>
      </c>
      <c r="K39" s="22">
        <f>(VLOOKUP(Table6276116[[#This Row],[Attack]],Table4975115[],6,FALSE)*Table6276116[[#This Row],[% ADV]])+(0.1*2*VLOOKUP(Table6276116[[#This Row],[Attack]],Table4975115[],6,FALSE))</f>
        <v>17.64</v>
      </c>
      <c r="L39" s="23">
        <f>VLOOKUP($K$35-VLOOKUP($F$16,Proficiency[],2,FALSE),'Rules of the Game'!$G$88:$T$108,7,FALSE)</f>
        <v>0.42249999999999999</v>
      </c>
      <c r="M39" s="11">
        <f>(VLOOKUP(Table6276116[[#This Row],[Attack]],Table4975115[],6,FALSE)*Table6276116[[#This Row],[% DIS]])+(0.0025*2*VLOOKUP(Table6276116[[#This Row],[Attack]],Table4975115[],6,FALSE))</f>
        <v>8.9775000000000009</v>
      </c>
    </row>
    <row r="40" spans="1:13" x14ac:dyDescent="0.35">
      <c r="A40">
        <v>1</v>
      </c>
      <c r="B40" t="s">
        <v>170</v>
      </c>
      <c r="G40" s="2" t="str">
        <f>G30</f>
        <v>Card</v>
      </c>
      <c r="H40" s="23">
        <f>VLOOKUP($K$35-VLOOKUP($F$16,Proficiency[],2,FALSE),'Rules of the Game'!$G$88:$T$108,3,FALSE)</f>
        <v>0.39999999999999997</v>
      </c>
      <c r="I40" s="22">
        <f>(VLOOKUP(Table6276116[[#This Row],[Attack]],Table4975115[],6,FALSE)*Table6276116[[#This Row],[% to Hit]])+(0.05*2*VLOOKUP(Table6276116[[#This Row],[Attack]],Table4975115[],6,FALSE))</f>
        <v>4</v>
      </c>
      <c r="J40" s="23">
        <f>VLOOKUP($K$35-VLOOKUP($F$16,Proficiency[],2,FALSE),'Rules of the Game'!$G$88:$T$107,6,FALSE)</f>
        <v>0.64</v>
      </c>
      <c r="K40" s="22">
        <f>(VLOOKUP(Table6276116[[#This Row],[Attack]],Table4975115[],6,FALSE)*Table6276116[[#This Row],[% ADV]])+(0.1*2*VLOOKUP(Table6276116[[#This Row],[Attack]],Table4975115[],6,FALSE))</f>
        <v>6.7200000000000006</v>
      </c>
      <c r="L40" s="23">
        <f>VLOOKUP($K$35-VLOOKUP($F$16,Proficiency[],2,FALSE),'Rules of the Game'!$G$88:$T$107,7,FALSE)</f>
        <v>0.42249999999999999</v>
      </c>
      <c r="M40" s="11">
        <f>(VLOOKUP(Table6276116[[#This Row],[Attack]],Table4975115[],6,FALSE)*Table6276116[[#This Row],[% DIS]])+(0.0025*2*VLOOKUP(Table6276116[[#This Row],[Attack]],Table4975115[],6,FALSE))</f>
        <v>3.42</v>
      </c>
    </row>
    <row r="41" spans="1:13" x14ac:dyDescent="0.35">
      <c r="A41">
        <v>2</v>
      </c>
      <c r="B41" t="s">
        <v>168</v>
      </c>
      <c r="G41" s="2" t="str">
        <f>G31</f>
        <v>Rapier</v>
      </c>
      <c r="H41" s="23">
        <f>VLOOKUP($K$35-VLOOKUP($F$16,Proficiency[],2,FALSE),'Rules of the Game'!$G$88:$T$108,3,FALSE)</f>
        <v>0.39999999999999997</v>
      </c>
      <c r="I41" s="22">
        <f>(VLOOKUP(Table6276116[[#This Row],[Attack]],Table4975115[],6,FALSE)*Table6276116[[#This Row],[% to Hit]])+(0.05*2*VLOOKUP(Table6276116[[#This Row],[Attack]],Table4975115[],6,FALSE))</f>
        <v>6</v>
      </c>
      <c r="J41" s="23">
        <f>VLOOKUP($K$35-VLOOKUP($F$16,Proficiency[],2,FALSE),'Rules of the Game'!$G$88:$T$107,6,FALSE)</f>
        <v>0.64</v>
      </c>
      <c r="K41" s="22">
        <f>(VLOOKUP(Table6276116[[#This Row],[Attack]],Table4975115[],6,FALSE)*Table6276116[[#This Row],[% ADV]])+(0.1*2*VLOOKUP(Table6276116[[#This Row],[Attack]],Table4975115[],6,FALSE))</f>
        <v>10.08</v>
      </c>
      <c r="L41" s="23">
        <f>VLOOKUP($K$35-VLOOKUP($F$16,Proficiency[],2,FALSE),'Rules of the Game'!$G$88:$T$107,7,FALSE)</f>
        <v>0.42249999999999999</v>
      </c>
      <c r="M41" s="11">
        <f>(VLOOKUP(Table6276116[[#This Row],[Attack]],Table4975115[],6,FALSE)*Table6276116[[#This Row],[% DIS]])+(0.0025*2*VLOOKUP(Table6276116[[#This Row],[Attack]],Table4975115[],6,FALSE))</f>
        <v>5.13</v>
      </c>
    </row>
    <row r="42" spans="1:13" x14ac:dyDescent="0.35">
      <c r="A42">
        <v>2</v>
      </c>
      <c r="B42" t="s">
        <v>169</v>
      </c>
      <c r="G42" t="str">
        <f t="shared" ref="G42" si="1">G32</f>
        <v>Shadowstaff</v>
      </c>
      <c r="H42" s="23">
        <f>VLOOKUP($K$35-VLOOKUP($F$16,Proficiency[],2,FALSE),'Rules of the Game'!$G$88:$T$108,3,FALSE)</f>
        <v>0.39999999999999997</v>
      </c>
      <c r="I42" s="22">
        <f>(VLOOKUP(Table6276116[[#This Row],[Attack]],Table4975115[],6,FALSE)*Table6276116[[#This Row],[% to Hit]])+(0.05*2*VLOOKUP(Table6276116[[#This Row],[Attack]],Table4975115[],6,FALSE))</f>
        <v>4.25</v>
      </c>
      <c r="J42" s="23">
        <f>VLOOKUP($K$35-VLOOKUP($F$16,Proficiency[],2,FALSE),'Rules of the Game'!$G$88:$T$107,6,FALSE)</f>
        <v>0.64</v>
      </c>
      <c r="K42" s="22">
        <f>(VLOOKUP(Table6276116[[#This Row],[Attack]],Table4975115[],6,FALSE)*Table6276116[[#This Row],[% ADV]])+(0.1*2*VLOOKUP(Table6276116[[#This Row],[Attack]],Table4975115[],6,FALSE))</f>
        <v>7.1400000000000006</v>
      </c>
      <c r="L42" s="23">
        <f>VLOOKUP($K$35-VLOOKUP($F$16,Proficiency[],2,FALSE),'Rules of the Game'!$G$88:$T$107,7,FALSE)</f>
        <v>0.42249999999999999</v>
      </c>
      <c r="M42" s="11">
        <f>(VLOOKUP(Table6276116[[#This Row],[Attack]],Table4975115[],6,FALSE)*Table6276116[[#This Row],[% DIS]])+(0.0025*2*VLOOKUP(Table6276116[[#This Row],[Attack]],Table4975115[],6,FALSE))</f>
        <v>3.63375</v>
      </c>
    </row>
    <row r="44" spans="1:13" x14ac:dyDescent="0.35">
      <c r="A44" s="13" t="s">
        <v>172</v>
      </c>
      <c r="G44" t="s">
        <v>628</v>
      </c>
    </row>
    <row r="45" spans="1:13" x14ac:dyDescent="0.35">
      <c r="A45" s="1" t="s">
        <v>50</v>
      </c>
      <c r="B45" s="1" t="s">
        <v>171</v>
      </c>
      <c r="G45" s="1" t="s">
        <v>631</v>
      </c>
      <c r="H45" s="1" t="s">
        <v>498</v>
      </c>
      <c r="I45" s="1" t="s">
        <v>629</v>
      </c>
      <c r="J45" s="1" t="s">
        <v>634</v>
      </c>
    </row>
    <row r="46" spans="1:13" x14ac:dyDescent="0.35">
      <c r="A46">
        <v>1</v>
      </c>
      <c r="B46" t="s">
        <v>173</v>
      </c>
      <c r="G46" s="9" t="s">
        <v>87</v>
      </c>
      <c r="H46" t="s">
        <v>630</v>
      </c>
      <c r="I46">
        <v>2</v>
      </c>
      <c r="J46" t="str">
        <f>IF(Table5557117[[#This Row],[Active]]="Yes",Table5557117[[#This Row],[AC Bonus]],"")</f>
        <v/>
      </c>
    </row>
    <row r="47" spans="1:13" x14ac:dyDescent="0.35">
      <c r="A47">
        <v>1</v>
      </c>
      <c r="B47" t="s">
        <v>49</v>
      </c>
      <c r="G47" s="9" t="s">
        <v>87</v>
      </c>
      <c r="H47" t="s">
        <v>632</v>
      </c>
      <c r="I47">
        <v>2</v>
      </c>
      <c r="J47" t="str">
        <f>IF(Table5557117[[#This Row],[Active]]="Yes",Table5557117[[#This Row],[AC Bonus]],"")</f>
        <v/>
      </c>
    </row>
    <row r="48" spans="1:13" x14ac:dyDescent="0.35">
      <c r="A48">
        <v>1</v>
      </c>
      <c r="B48" t="s">
        <v>174</v>
      </c>
      <c r="G48" s="9" t="s">
        <v>87</v>
      </c>
      <c r="H48" t="s">
        <v>633</v>
      </c>
      <c r="I48">
        <v>1</v>
      </c>
      <c r="J48" t="str">
        <f>IF(Table5557117[[#This Row],[Active]]="Yes",Table5557117[[#This Row],[AC Bonus]],"")</f>
        <v/>
      </c>
    </row>
    <row r="49" spans="1:13" x14ac:dyDescent="0.35">
      <c r="A49">
        <v>1</v>
      </c>
      <c r="B49" t="s">
        <v>175</v>
      </c>
      <c r="G49" s="9" t="s">
        <v>87</v>
      </c>
      <c r="H49" t="s">
        <v>44</v>
      </c>
      <c r="I49">
        <v>2</v>
      </c>
      <c r="J49" t="str">
        <f>IF(Table5557117[[#This Row],[Active]]="Yes",Table5557117[[#This Row],[AC Bonus]],"")</f>
        <v/>
      </c>
    </row>
    <row r="50" spans="1:13" x14ac:dyDescent="0.35">
      <c r="A50">
        <v>1</v>
      </c>
      <c r="B50" t="s">
        <v>47</v>
      </c>
      <c r="G50" s="54" t="s">
        <v>87</v>
      </c>
      <c r="H50" s="38" t="s">
        <v>160</v>
      </c>
      <c r="I50" s="38">
        <v>5</v>
      </c>
      <c r="J50" s="55" t="str">
        <f>IF(Table5557117[[#This Row],[Active]]="Yes",Table5557117[[#This Row],[AC Bonus]],"")</f>
        <v/>
      </c>
    </row>
    <row r="51" spans="1:13" x14ac:dyDescent="0.35">
      <c r="A51">
        <v>1</v>
      </c>
      <c r="B51" t="s">
        <v>176</v>
      </c>
      <c r="G51" s="54" t="s">
        <v>87</v>
      </c>
      <c r="H51" s="38" t="s">
        <v>658</v>
      </c>
      <c r="I51" s="38">
        <v>2</v>
      </c>
      <c r="J51" s="55" t="str">
        <f>IF(Table5557117[[#This Row],[Active]]="Yes",Table5557117[[#This Row],[AC Bonus]],"")</f>
        <v/>
      </c>
    </row>
    <row r="52" spans="1:13" x14ac:dyDescent="0.35">
      <c r="G52" s="54" t="s">
        <v>87</v>
      </c>
      <c r="H52" s="38" t="s">
        <v>659</v>
      </c>
      <c r="I52" s="38">
        <v>5</v>
      </c>
      <c r="J52" s="55" t="str">
        <f>IF(Table5557117[[#This Row],[Active]]="Yes",Table5557117[[#This Row],[AC Bonus]],"")</f>
        <v/>
      </c>
    </row>
    <row r="53" spans="1:13" x14ac:dyDescent="0.35">
      <c r="G53" s="54" t="s">
        <v>87</v>
      </c>
      <c r="H53" s="38" t="s">
        <v>49</v>
      </c>
      <c r="I53" s="38"/>
      <c r="J53" s="55" t="str">
        <f>IF(Table5557117[[#This Row],[Active]]="Yes",Table5557117[[#This Row],[AC Bonus]],"")</f>
        <v/>
      </c>
    </row>
    <row r="55" spans="1:13" x14ac:dyDescent="0.35">
      <c r="G55" t="s">
        <v>662</v>
      </c>
    </row>
    <row r="56" spans="1:13" x14ac:dyDescent="0.35">
      <c r="G56" s="1" t="s">
        <v>171</v>
      </c>
      <c r="H56" s="1" t="s">
        <v>663</v>
      </c>
      <c r="I56" s="1" t="s">
        <v>122</v>
      </c>
      <c r="J56" s="1" t="s">
        <v>664</v>
      </c>
      <c r="K56" s="1" t="s">
        <v>665</v>
      </c>
      <c r="L56" s="1" t="s">
        <v>666</v>
      </c>
      <c r="M56" s="1" t="s">
        <v>667</v>
      </c>
    </row>
    <row r="57" spans="1:13" x14ac:dyDescent="0.35">
      <c r="G57" t="s">
        <v>668</v>
      </c>
      <c r="H57">
        <v>4</v>
      </c>
      <c r="L57">
        <v>4</v>
      </c>
    </row>
    <row r="58" spans="1:13" x14ac:dyDescent="0.35">
      <c r="G58" t="s">
        <v>669</v>
      </c>
      <c r="H58">
        <v>4</v>
      </c>
      <c r="M58">
        <v>4</v>
      </c>
    </row>
    <row r="59" spans="1:13" x14ac:dyDescent="0.35">
      <c r="G59" t="s">
        <v>670</v>
      </c>
      <c r="H59">
        <v>4</v>
      </c>
      <c r="L59">
        <v>4</v>
      </c>
    </row>
    <row r="60" spans="1:13" x14ac:dyDescent="0.35">
      <c r="G60" t="s">
        <v>671</v>
      </c>
      <c r="J60">
        <v>4</v>
      </c>
      <c r="M60">
        <v>4</v>
      </c>
    </row>
    <row r="61" spans="1:13" x14ac:dyDescent="0.35">
      <c r="G61" t="s">
        <v>672</v>
      </c>
      <c r="K61">
        <v>4</v>
      </c>
      <c r="L61">
        <v>4</v>
      </c>
    </row>
    <row r="62" spans="1:13" x14ac:dyDescent="0.35">
      <c r="G62" t="s">
        <v>673</v>
      </c>
      <c r="J62">
        <v>2</v>
      </c>
    </row>
    <row r="63" spans="1:13" x14ac:dyDescent="0.35">
      <c r="G63" t="s">
        <v>674</v>
      </c>
    </row>
    <row r="64" spans="1:13" x14ac:dyDescent="0.35">
      <c r="G64" t="s">
        <v>675</v>
      </c>
      <c r="M64">
        <v>4</v>
      </c>
    </row>
    <row r="68" spans="7:13" x14ac:dyDescent="0.35">
      <c r="G68" t="s">
        <v>70</v>
      </c>
      <c r="H68">
        <f>$B$2+SUBTOTAL(109,Table54118[Strength Bonus])</f>
        <v>24</v>
      </c>
      <c r="I68">
        <f>$B$3+SUBTOTAL(109,Table54118[Dexterity Bonus])</f>
        <v>18</v>
      </c>
      <c r="J68">
        <f>$B$4+SUBTOTAL(109,Table54118[Constitution Bonus])</f>
        <v>22</v>
      </c>
      <c r="K68">
        <f>$B$5+SUBTOTAL(109,Table54118[Intelligence Bonus])</f>
        <v>15</v>
      </c>
      <c r="L68">
        <f>$B$6+SUBTOTAL(109,Table54118[Wisdom Bonus])</f>
        <v>30</v>
      </c>
      <c r="M68">
        <f>$B$7+SUBTOTAL(109,Table54118[Charisma Bonus])</f>
        <v>24</v>
      </c>
    </row>
  </sheetData>
  <pageMargins left="0.7" right="0.7" top="0.75" bottom="0.75" header="0.3" footer="0.3"/>
  <pageSetup orientation="portrait" r:id="rId1"/>
  <tableParts count="7">
    <tablePart r:id="rId2"/>
    <tablePart r:id="rId3"/>
    <tablePart r:id="rId4"/>
    <tablePart r:id="rId5"/>
    <tablePart r:id="rId6"/>
    <tablePart r:id="rId7"/>
    <tablePart r:id="rId8"/>
  </tableParts>
  <extLst>
    <ext xmlns:x14="http://schemas.microsoft.com/office/spreadsheetml/2009/9/main" uri="{CCE6A557-97BC-4b89-ADB6-D9C93CAAB3DF}">
      <x14:dataValidations xmlns:xm="http://schemas.microsoft.com/office/excel/2006/main" count="5">
        <x14:dataValidation type="list" allowBlank="1" showInputMessage="1" showErrorMessage="1" xr:uid="{34E88867-B272-49E2-BB55-F485590563CC}">
          <x14:formula1>
            <xm:f>'Rules of the Game'!$H$74:$H$85</xm:f>
          </x14:formula1>
          <xm:sqref>G32</xm:sqref>
        </x14:dataValidation>
        <x14:dataValidation type="list" allowBlank="1" showInputMessage="1" showErrorMessage="1" xr:uid="{27FE7D94-BE7D-4C9C-938D-BEBC8E2B0752}">
          <x14:formula1>
            <xm:f>'Rules of the Game'!$V$3:$V$15</xm:f>
          </x14:formula1>
          <xm:sqref>H35</xm:sqref>
        </x14:dataValidation>
        <x14:dataValidation type="list" allowBlank="1" showInputMessage="1" showErrorMessage="1" xr:uid="{DD7AC889-A62A-4D9A-8867-860B3DA41D08}">
          <x14:formula1>
            <xm:f>'Rules of the Game'!$D$42:$D$53</xm:f>
          </x14:formula1>
          <xm:sqref>F11</xm:sqref>
        </x14:dataValidation>
        <x14:dataValidation type="list" allowBlank="1" showInputMessage="1" showErrorMessage="1" xr:uid="{24E1A14F-8376-4016-9837-8C11263CB931}">
          <x14:formula1>
            <xm:f>'Rules of the Game'!$D$4:$D$6</xm:f>
          </x14:formula1>
          <xm:sqref>B11:B28</xm:sqref>
        </x14:dataValidation>
        <x14:dataValidation type="list" allowBlank="1" showInputMessage="1" showErrorMessage="1" xr:uid="{C8546D39-0F49-4D94-9369-FA776C0F0FB0}">
          <x14:formula1>
            <xm:f>'Rules of the Game'!$D$1:$D$2</xm:f>
          </x14:formula1>
          <xm:sqref>D2:D7 F10 G46:G53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06C1D-F145-45D6-919E-A59EFFFDEB33}">
  <sheetPr codeName="Sheet3"/>
  <dimension ref="A1:P68"/>
  <sheetViews>
    <sheetView zoomScale="85" zoomScaleNormal="115" workbookViewId="0">
      <selection activeCell="H37" sqref="H37"/>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14.54296875" bestFit="1" customWidth="1"/>
    <col min="7" max="7" width="19.1796875" bestFit="1" customWidth="1"/>
    <col min="8" max="8" width="27.1796875" bestFit="1" customWidth="1"/>
    <col min="9" max="9" width="16.81640625" customWidth="1"/>
    <col min="10" max="10" width="19.1796875" customWidth="1"/>
    <col min="11" max="11" width="18.54296875" customWidth="1"/>
    <col min="12" max="12" width="15.54296875" customWidth="1"/>
    <col min="13" max="13" width="16.453125" customWidth="1"/>
    <col min="15" max="15" width="27.1796875" bestFit="1"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11</v>
      </c>
      <c r="C2">
        <f>VLOOKUP(Table5[[#This Row],[Score]],Modifier[],2,FALSE)</f>
        <v>0</v>
      </c>
      <c r="D2" t="s">
        <v>87</v>
      </c>
      <c r="E2">
        <f>IF(Table5[[#This Row],[Proficiency?]]="No",Table5[[#This Row],[Modifiers]],VLOOKUP($F$16,Proficiency[],2,FALSE)+Table5[[#This Row],[Modifiers]])</f>
        <v>0</v>
      </c>
      <c r="H2" t="s">
        <v>136</v>
      </c>
      <c r="I2" t="s">
        <v>177</v>
      </c>
      <c r="O2" t="s">
        <v>151</v>
      </c>
      <c r="P2" t="s">
        <v>182</v>
      </c>
    </row>
    <row r="3" spans="1:16" x14ac:dyDescent="0.35">
      <c r="A3" t="s">
        <v>1</v>
      </c>
      <c r="B3">
        <v>20</v>
      </c>
      <c r="C3">
        <f>VLOOKUP(Table5[[#This Row],[Score]],Modifier[],2,FALSE)</f>
        <v>5</v>
      </c>
      <c r="D3" t="s">
        <v>87</v>
      </c>
      <c r="E3">
        <f>IF(Table5[[#This Row],[Proficiency?]]="No",Table5[[#This Row],[Modifiers]],VLOOKUP($F$16,Proficiency[],2,FALSE)+Table5[[#This Row],[Modifiers]])</f>
        <v>5</v>
      </c>
      <c r="H3" t="s">
        <v>137</v>
      </c>
      <c r="I3" t="s">
        <v>184</v>
      </c>
      <c r="O3" t="s">
        <v>152</v>
      </c>
    </row>
    <row r="4" spans="1:16" x14ac:dyDescent="0.35">
      <c r="A4" t="s">
        <v>2</v>
      </c>
      <c r="B4">
        <v>15</v>
      </c>
      <c r="C4">
        <f>VLOOKUP(Table5[[#This Row],[Score]],Modifier[],2,FALSE)</f>
        <v>2</v>
      </c>
      <c r="D4" t="s">
        <v>86</v>
      </c>
      <c r="E4">
        <f>IF(Table5[[#This Row],[Proficiency?]]="No",Table5[[#This Row],[Modifiers]],VLOOKUP($F$16,Proficiency[],2,FALSE)+Table5[[#This Row],[Modifiers]])</f>
        <v>10</v>
      </c>
      <c r="H4" t="s">
        <v>138</v>
      </c>
      <c r="I4" t="s">
        <v>185</v>
      </c>
      <c r="O4" t="s">
        <v>153</v>
      </c>
    </row>
    <row r="5" spans="1:16" x14ac:dyDescent="0.35">
      <c r="A5" t="s">
        <v>3</v>
      </c>
      <c r="B5">
        <v>20</v>
      </c>
      <c r="C5">
        <f>VLOOKUP(Table5[[#This Row],[Score]],Modifier[],2,FALSE)</f>
        <v>5</v>
      </c>
      <c r="D5" t="s">
        <v>86</v>
      </c>
      <c r="E5">
        <f>IF(Table5[[#This Row],[Proficiency?]]="No",Table5[[#This Row],[Modifiers]],VLOOKUP($F$16,Proficiency[],2,FALSE)+Table5[[#This Row],[Modifiers]])</f>
        <v>13</v>
      </c>
      <c r="H5" t="s">
        <v>186</v>
      </c>
      <c r="O5" t="s">
        <v>154</v>
      </c>
    </row>
    <row r="6" spans="1:16" x14ac:dyDescent="0.35">
      <c r="A6" t="s">
        <v>4</v>
      </c>
      <c r="B6">
        <v>11</v>
      </c>
      <c r="C6">
        <f>VLOOKUP(Table5[[#This Row],[Score]],Modifier[],2,FALSE)</f>
        <v>0</v>
      </c>
      <c r="D6" t="s">
        <v>86</v>
      </c>
      <c r="E6">
        <f>IF(Table5[[#This Row],[Proficiency?]]="No",Table5[[#This Row],[Modifiers]],VLOOKUP($F$16,Proficiency[],2,FALSE)+Table5[[#This Row],[Modifiers]])</f>
        <v>8</v>
      </c>
      <c r="H6" t="s">
        <v>139</v>
      </c>
      <c r="I6" t="s">
        <v>187</v>
      </c>
      <c r="O6" t="s">
        <v>155</v>
      </c>
    </row>
    <row r="7" spans="1:16" x14ac:dyDescent="0.35">
      <c r="A7" t="s">
        <v>5</v>
      </c>
      <c r="B7">
        <v>14</v>
      </c>
      <c r="C7">
        <f>VLOOKUP(Table5[[#This Row],[Score]],Modifier[],2,FALSE)</f>
        <v>2</v>
      </c>
      <c r="D7" t="s">
        <v>87</v>
      </c>
      <c r="E7">
        <f>IF(Table5[[#This Row],[Proficiency?]]="No",Table5[[#This Row],[Modifiers]],VLOOKUP($F$16,Proficiency[],2,FALSE)+Table5[[#This Row],[Modifiers]])</f>
        <v>2</v>
      </c>
      <c r="H7" t="s">
        <v>140</v>
      </c>
      <c r="I7" t="s">
        <v>188</v>
      </c>
      <c r="O7" t="s">
        <v>154</v>
      </c>
    </row>
    <row r="8" spans="1:16" x14ac:dyDescent="0.35">
      <c r="H8" t="s">
        <v>141</v>
      </c>
      <c r="I8" t="s">
        <v>189</v>
      </c>
      <c r="O8" t="s">
        <v>156</v>
      </c>
    </row>
    <row r="10" spans="1:16" x14ac:dyDescent="0.35">
      <c r="A10" t="s">
        <v>90</v>
      </c>
      <c r="B10" t="s">
        <v>91</v>
      </c>
      <c r="C10" t="s">
        <v>13</v>
      </c>
      <c r="E10" t="s">
        <v>116</v>
      </c>
      <c r="F10" s="9" t="s">
        <v>86</v>
      </c>
      <c r="H10" s="1" t="s">
        <v>142</v>
      </c>
      <c r="I10" s="1" t="s">
        <v>135</v>
      </c>
      <c r="O10" s="1" t="s">
        <v>157</v>
      </c>
      <c r="P10" s="1" t="s">
        <v>135</v>
      </c>
    </row>
    <row r="11" spans="1:16" x14ac:dyDescent="0.35">
      <c r="A11" t="s">
        <v>94</v>
      </c>
      <c r="B11" t="s">
        <v>84</v>
      </c>
      <c r="C11">
        <f>VLOOKUP(VLOOKUP(Table9[[#This Row],[Skills]],Table10[],2,FALSE),Table5[[Ability]:[Modifiers]],3,FALSE)+VLOOKUP(Table9[[#This Row],[Proficiency Level]],Table11[],3,FALSE)</f>
        <v>14</v>
      </c>
      <c r="E11" t="s">
        <v>117</v>
      </c>
      <c r="F11" s="9" t="s">
        <v>118</v>
      </c>
      <c r="H11" t="s">
        <v>143</v>
      </c>
      <c r="I11" t="s">
        <v>183</v>
      </c>
      <c r="O11" t="s">
        <v>158</v>
      </c>
    </row>
    <row r="12" spans="1:16" x14ac:dyDescent="0.35">
      <c r="A12" t="s">
        <v>95</v>
      </c>
      <c r="B12" t="s">
        <v>92</v>
      </c>
      <c r="C12">
        <f>VLOOKUP(VLOOKUP(Table9[[#This Row],[Skills]],Table10[],2,FALSE),Table5[[Ability]:[Modifiers]],3,FALSE)+VLOOKUP(Table9[[#This Row],[Proficiency Level]],Table11[],3,FALSE)</f>
        <v>0</v>
      </c>
      <c r="E12" t="s">
        <v>122</v>
      </c>
      <c r="F12" s="10">
        <f>IF(ISNUMBER(VLOOKUP(Facade!F11,Table12[],3,FALSE))=FALSE,IF(VLOOKUP(Facade!F11,Table12[],3,FALSE)="Yes",Facade!$C$3,0),VLOOKUP(Facade!F11,Table12[],3,FALSE))</f>
        <v>5</v>
      </c>
      <c r="H12" t="s">
        <v>144</v>
      </c>
      <c r="I12" t="s">
        <v>190</v>
      </c>
      <c r="O12" t="s">
        <v>159</v>
      </c>
    </row>
    <row r="13" spans="1:16" x14ac:dyDescent="0.35">
      <c r="A13" t="s">
        <v>96</v>
      </c>
      <c r="B13" t="s">
        <v>84</v>
      </c>
      <c r="C13">
        <f>VLOOKUP(VLOOKUP(Table9[[#This Row],[Skills]],Table10[],2,FALSE),Table5[[Ability]:[Modifiers]],3,FALSE)+VLOOKUP(Table9[[#This Row],[Proficiency Level]],Table11[],3,FALSE)</f>
        <v>14</v>
      </c>
      <c r="E13" t="s">
        <v>123</v>
      </c>
      <c r="F13" s="9">
        <v>1</v>
      </c>
      <c r="H13" t="s">
        <v>145</v>
      </c>
      <c r="I13" t="s">
        <v>191</v>
      </c>
      <c r="O13" t="s">
        <v>160</v>
      </c>
    </row>
    <row r="14" spans="1:16" x14ac:dyDescent="0.35">
      <c r="A14" t="s">
        <v>97</v>
      </c>
      <c r="B14" t="s">
        <v>92</v>
      </c>
      <c r="C14">
        <f>VLOOKUP(VLOOKUP(Table9[[#This Row],[Skills]],Table10[],2,FALSE),Table5[[Ability]:[Modifiers]],3,FALSE)+VLOOKUP(Table9[[#This Row],[Proficiency Level]],Table11[],3,FALSE)</f>
        <v>0</v>
      </c>
      <c r="H14" t="s">
        <v>146</v>
      </c>
      <c r="I14" t="s">
        <v>192</v>
      </c>
      <c r="O14" t="s">
        <v>161</v>
      </c>
    </row>
    <row r="15" spans="1:16" x14ac:dyDescent="0.35">
      <c r="A15" t="s">
        <v>98</v>
      </c>
      <c r="B15" t="s">
        <v>84</v>
      </c>
      <c r="C15">
        <f>VLOOKUP(VLOOKUP(Table9[[#This Row],[Skills]],Table10[],2,FALSE),Table5[[Ability]:[Modifiers]],3,FALSE)+VLOOKUP(Table9[[#This Row],[Proficiency Level]],Table11[],3,FALSE)</f>
        <v>11</v>
      </c>
      <c r="H15" t="s">
        <v>147</v>
      </c>
      <c r="O15" t="s">
        <v>162</v>
      </c>
    </row>
    <row r="16" spans="1:16" x14ac:dyDescent="0.35">
      <c r="A16" t="s">
        <v>99</v>
      </c>
      <c r="B16" t="s">
        <v>92</v>
      </c>
      <c r="C16">
        <f>VLOOKUP(VLOOKUP(Table9[[#This Row],[Skills]],Table10[],2,FALSE),Table5[[Ability]:[Modifiers]],3,FALSE)+VLOOKUP(Table9[[#This Row],[Proficiency Level]],Table11[],3,FALSE)</f>
        <v>5</v>
      </c>
      <c r="E16" s="1" t="s">
        <v>88</v>
      </c>
      <c r="F16" s="9">
        <v>30</v>
      </c>
      <c r="H16" t="s">
        <v>148</v>
      </c>
      <c r="O16" t="s">
        <v>163</v>
      </c>
    </row>
    <row r="17" spans="1:16" x14ac:dyDescent="0.35">
      <c r="A17" t="s">
        <v>100</v>
      </c>
      <c r="B17" t="s">
        <v>84</v>
      </c>
      <c r="C17">
        <f>VLOOKUP(VLOOKUP(Table9[[#This Row],[Skills]],Table10[],2,FALSE),Table5[[Ability]:[Modifiers]],3,FALSE)+VLOOKUP(Table9[[#This Row],[Proficiency Level]],Table11[],3,FALSE)</f>
        <v>9</v>
      </c>
      <c r="E17" s="1" t="s">
        <v>115</v>
      </c>
      <c r="F17" s="10">
        <f>IF(Facade!F10="Yes",VLOOKUP(F11,Table12[],2,FALSE)+Facade!F12+2+F13,VLOOKUP(F11,Table12[],2,FALSE)+Facade!F12+F13)+SUM(Table5557[Applied AC Bonus])</f>
        <v>20</v>
      </c>
      <c r="H17" t="s">
        <v>179</v>
      </c>
      <c r="O17" t="s">
        <v>164</v>
      </c>
    </row>
    <row r="18" spans="1:16" x14ac:dyDescent="0.35">
      <c r="A18" t="s">
        <v>101</v>
      </c>
      <c r="B18" t="s">
        <v>92</v>
      </c>
      <c r="C18">
        <f>VLOOKUP(VLOOKUP(Table9[[#This Row],[Skills]],Table10[],2,FALSE),Table5[[Ability]:[Modifiers]],3,FALSE)+VLOOKUP(Table9[[#This Row],[Proficiency Level]],Table11[],3,FALSE)</f>
        <v>2</v>
      </c>
      <c r="E18" s="1" t="s">
        <v>132</v>
      </c>
      <c r="F18" s="12">
        <f>SUM(Table13[[Average ]])</f>
        <v>171.5</v>
      </c>
      <c r="H18" t="s">
        <v>180</v>
      </c>
      <c r="O18" t="s">
        <v>165</v>
      </c>
      <c r="P18" t="s">
        <v>198</v>
      </c>
    </row>
    <row r="19" spans="1:16" x14ac:dyDescent="0.35">
      <c r="A19" t="s">
        <v>102</v>
      </c>
      <c r="B19" t="s">
        <v>92</v>
      </c>
      <c r="C19">
        <f>VLOOKUP(VLOOKUP(Table9[[#This Row],[Skills]],Table10[],2,FALSE),Table5[[Ability]:[Modifiers]],3,FALSE)+VLOOKUP(Table9[[#This Row],[Proficiency Level]],Table11[],3,FALSE)</f>
        <v>5</v>
      </c>
      <c r="E19" s="1" t="s">
        <v>178</v>
      </c>
      <c r="F19" s="10">
        <f>8+VLOOKUP("Intelligence",Table5[],3,FALSE)+VLOOKUP(F16,Proficiency[],2,FALSE)</f>
        <v>21</v>
      </c>
      <c r="H19" t="s">
        <v>181</v>
      </c>
      <c r="O19" t="s">
        <v>166</v>
      </c>
    </row>
    <row r="20" spans="1:16" x14ac:dyDescent="0.35">
      <c r="A20" t="s">
        <v>103</v>
      </c>
      <c r="B20" t="s">
        <v>92</v>
      </c>
      <c r="C20">
        <f>VLOOKUP(VLOOKUP(Table9[[#This Row],[Skills]],Table10[],2,FALSE),Table5[[Ability]:[Modifiers]],3,FALSE)+VLOOKUP(Table9[[#This Row],[Proficiency Level]],Table11[],3,FALSE)</f>
        <v>0</v>
      </c>
    </row>
    <row r="21" spans="1:16" x14ac:dyDescent="0.35">
      <c r="A21" t="s">
        <v>104</v>
      </c>
      <c r="B21" t="s">
        <v>92</v>
      </c>
      <c r="C21">
        <f>VLOOKUP(VLOOKUP(Table9[[#This Row],[Skills]],Table10[],2,FALSE),Table5[[Ability]:[Modifiers]],3,FALSE)+VLOOKUP(Table9[[#This Row],[Proficiency Level]],Table11[],3,FALSE)</f>
        <v>5</v>
      </c>
      <c r="E21" s="14" t="s">
        <v>209</v>
      </c>
      <c r="F21" s="10">
        <f>10+C22</f>
        <v>10</v>
      </c>
      <c r="H21" s="1" t="s">
        <v>210</v>
      </c>
    </row>
    <row r="22" spans="1:16" x14ac:dyDescent="0.35">
      <c r="A22" t="s">
        <v>105</v>
      </c>
      <c r="B22" t="s">
        <v>92</v>
      </c>
      <c r="C22">
        <f>VLOOKUP(VLOOKUP(Table9[[#This Row],[Skills]],Table10[],2,FALSE),Table5[[Ability]:[Modifiers]],3,FALSE)+VLOOKUP(Table9[[#This Row],[Proficiency Level]],Table11[],3,FALSE)</f>
        <v>0</v>
      </c>
      <c r="E22" s="14" t="s">
        <v>602</v>
      </c>
      <c r="F22" s="10"/>
      <c r="H22" t="s">
        <v>211</v>
      </c>
      <c r="I22" t="s">
        <v>207</v>
      </c>
    </row>
    <row r="23" spans="1:16" x14ac:dyDescent="0.35">
      <c r="A23" t="s">
        <v>106</v>
      </c>
      <c r="B23" t="s">
        <v>92</v>
      </c>
      <c r="C23">
        <f>VLOOKUP(VLOOKUP(Table9[[#This Row],[Skills]],Table10[],2,FALSE),Table5[[Ability]:[Modifiers]],3,FALSE)+VLOOKUP(Table9[[#This Row],[Proficiency Level]],Table11[],3,FALSE)</f>
        <v>2</v>
      </c>
      <c r="H23" t="s">
        <v>212</v>
      </c>
    </row>
    <row r="24" spans="1:16" x14ac:dyDescent="0.35">
      <c r="A24" t="s">
        <v>107</v>
      </c>
      <c r="B24" t="s">
        <v>92</v>
      </c>
      <c r="C24">
        <f>VLOOKUP(VLOOKUP(Table9[[#This Row],[Skills]],Table10[],2,FALSE),Table5[[Ability]:[Modifiers]],3,FALSE)+VLOOKUP(Table9[[#This Row],[Proficiency Level]],Table11[],3,FALSE)</f>
        <v>2</v>
      </c>
    </row>
    <row r="25" spans="1:16" x14ac:dyDescent="0.35">
      <c r="A25" t="s">
        <v>108</v>
      </c>
      <c r="B25" t="s">
        <v>92</v>
      </c>
      <c r="C25">
        <f>VLOOKUP(VLOOKUP(Table9[[#This Row],[Skills]],Table10[],2,FALSE),Table5[[Ability]:[Modifiers]],3,FALSE)+VLOOKUP(Table9[[#This Row],[Proficiency Level]],Table11[],3,FALSE)</f>
        <v>5</v>
      </c>
      <c r="G25" t="s">
        <v>311</v>
      </c>
    </row>
    <row r="26" spans="1:16" x14ac:dyDescent="0.35">
      <c r="A26" t="s">
        <v>109</v>
      </c>
      <c r="B26" t="s">
        <v>92</v>
      </c>
      <c r="C26">
        <f>VLOOKUP(VLOOKUP(Table9[[#This Row],[Skills]],Table10[],2,FALSE),Table5[[Ability]:[Modifiers]],3,FALSE)+VLOOKUP(Table9[[#This Row],[Proficiency Level]],Table11[],3,FALSE)</f>
        <v>5</v>
      </c>
      <c r="G26" t="s">
        <v>171</v>
      </c>
      <c r="H26" t="s">
        <v>318</v>
      </c>
      <c r="I26" t="s">
        <v>313</v>
      </c>
      <c r="J26" t="s">
        <v>312</v>
      </c>
      <c r="K26" t="s">
        <v>314</v>
      </c>
      <c r="L26" t="s">
        <v>320</v>
      </c>
      <c r="M26" t="s">
        <v>317</v>
      </c>
      <c r="N26" t="s">
        <v>319</v>
      </c>
    </row>
    <row r="27" spans="1:16" x14ac:dyDescent="0.35">
      <c r="A27" t="s">
        <v>110</v>
      </c>
      <c r="B27" t="s">
        <v>93</v>
      </c>
      <c r="C27">
        <f>VLOOKUP(VLOOKUP(Table9[[#This Row],[Skills]],Table10[],2,FALSE),Table5[[Ability]:[Modifiers]],3,FALSE)+VLOOKUP(Table9[[#This Row],[Proficiency Level]],Table11[],3,FALSE)</f>
        <v>23</v>
      </c>
      <c r="G27" t="s">
        <v>505</v>
      </c>
      <c r="H27">
        <f>$C$5+VLOOKUP($F$16,Proficiency[],2,FALSE)</f>
        <v>13</v>
      </c>
      <c r="I27">
        <v>4</v>
      </c>
      <c r="J27">
        <v>8</v>
      </c>
      <c r="K27">
        <f t="shared" ref="K27:K28" si="0">$C$2</f>
        <v>0</v>
      </c>
      <c r="L27">
        <f>Table4975[[#This Row],['# of Dice]]*(Table4975[[#This Row],[Damage Dice]]/2)+Table4975[[#This Row],[Bonus Damage]]</f>
        <v>16</v>
      </c>
      <c r="N27">
        <v>0</v>
      </c>
    </row>
    <row r="28" spans="1:16" x14ac:dyDescent="0.35">
      <c r="A28" t="s">
        <v>111</v>
      </c>
      <c r="B28" t="s">
        <v>92</v>
      </c>
      <c r="C28">
        <f>VLOOKUP(VLOOKUP(Table9[[#This Row],[Skills]],Table10[],2,FALSE),Table5[[Ability]:[Modifiers]],3,FALSE)+VLOOKUP(Table9[[#This Row],[Proficiency Level]],Table11[],3,FALSE)</f>
        <v>0</v>
      </c>
      <c r="G28" t="s">
        <v>506</v>
      </c>
      <c r="H28">
        <f>$C$5+VLOOKUP($F$16,Proficiency[],2,FALSE)</f>
        <v>13</v>
      </c>
      <c r="I28">
        <v>4</v>
      </c>
      <c r="J28">
        <v>8</v>
      </c>
      <c r="K28">
        <f t="shared" si="0"/>
        <v>0</v>
      </c>
      <c r="L28">
        <f>Table4975[[#This Row],['# of Dice]]*(Table4975[[#This Row],[Damage Dice]]/2)+Table4975[[#This Row],[Bonus Damage]]</f>
        <v>16</v>
      </c>
      <c r="N28">
        <v>5</v>
      </c>
    </row>
    <row r="29" spans="1:16" x14ac:dyDescent="0.35">
      <c r="G29" t="s">
        <v>507</v>
      </c>
      <c r="H29" s="2">
        <f>$C$5+VLOOKUP($F$16,Proficiency[],2,FALSE)</f>
        <v>13</v>
      </c>
      <c r="I29">
        <v>4</v>
      </c>
      <c r="J29">
        <v>10</v>
      </c>
      <c r="K29" s="2">
        <f>$C$2</f>
        <v>0</v>
      </c>
      <c r="L29">
        <f>Table4975[[#This Row],['# of Dice]]*(Table4975[[#This Row],[Damage Dice]]/2)+Table4975[[#This Row],[Bonus Damage]]</f>
        <v>20</v>
      </c>
      <c r="N29">
        <v>120</v>
      </c>
    </row>
    <row r="30" spans="1:16" x14ac:dyDescent="0.35">
      <c r="G30" t="s">
        <v>508</v>
      </c>
      <c r="H30" s="2">
        <f>$C$3+VLOOKUP($F$16,Proficiency[],2,FALSE)</f>
        <v>13</v>
      </c>
      <c r="I30">
        <v>1</v>
      </c>
      <c r="J30">
        <v>4</v>
      </c>
      <c r="K30" s="2">
        <f>$C$3</f>
        <v>5</v>
      </c>
      <c r="L30" s="2">
        <f>Table4975[[#This Row],['# of Dice]]*Table4975[[#This Row],[Damage Dice]]+Table4975[[#This Row],[Bonus Damage]]</f>
        <v>9</v>
      </c>
    </row>
    <row r="31" spans="1:16" x14ac:dyDescent="0.35">
      <c r="A31" t="s">
        <v>124</v>
      </c>
      <c r="B31" t="s">
        <v>125</v>
      </c>
      <c r="C31" t="s">
        <v>130</v>
      </c>
      <c r="D31" t="s">
        <v>133</v>
      </c>
      <c r="G31" t="s">
        <v>326</v>
      </c>
      <c r="H31" s="2">
        <f>$C$3+VLOOKUP($F$16,Proficiency[],2,FALSE)</f>
        <v>13</v>
      </c>
      <c r="I31">
        <v>1</v>
      </c>
      <c r="J31">
        <v>8</v>
      </c>
      <c r="K31" s="2">
        <f>$C$3</f>
        <v>5</v>
      </c>
      <c r="L31" s="2">
        <f>Table4975[[#This Row],['# of Dice]]*Table4975[[#This Row],[Damage Dice]]+Table4975[[#This Row],[Bonus Damage]]</f>
        <v>13</v>
      </c>
    </row>
    <row r="32" spans="1:16" x14ac:dyDescent="0.35">
      <c r="A32" t="s">
        <v>126</v>
      </c>
      <c r="B32">
        <v>6</v>
      </c>
      <c r="C32">
        <v>20</v>
      </c>
      <c r="D32">
        <f>(((Table13[[#This Row],[Hit Dice]]/2)+0.5)+VLOOKUP("Constitution",Table5[[Ability]:[Modifiers]],3,FALSE))*Table13[[#This Row],[Levels]]</f>
        <v>110</v>
      </c>
      <c r="G32" s="9" t="s">
        <v>366</v>
      </c>
      <c r="H32">
        <f>VLOOKUP(VLOOKUP(Table4975[[#This Row],[Name]],Weapons[],4,FALSE),Table515[[Ability]:[Modifiers]],3,FALSE)+VLOOKUP($F$16,Proficiency[],2,FALSE)</f>
        <v>13</v>
      </c>
      <c r="I32">
        <f>VLOOKUP(Table4975[[#This Row],[Name]],Weapons[],2,FALSE)</f>
        <v>2</v>
      </c>
      <c r="J32">
        <f>VLOOKUP(Table4975[[#This Row],[Name]],Weapons[],3,FALSE)</f>
        <v>10</v>
      </c>
      <c r="K32">
        <f>VLOOKUP(VLOOKUP(Table4975[[#This Row],[Name]],Weapons[],4,FALSE),Table515[],3,FALSE)</f>
        <v>5</v>
      </c>
      <c r="L32">
        <f>Table4975[[#This Row],['# of Dice]]*((Table4975[[#This Row],[Damage Dice]]/2)+0.5)+Table4975[[#This Row],[Bonus Damage]]</f>
        <v>16</v>
      </c>
    </row>
    <row r="33" spans="1:13" x14ac:dyDescent="0.35">
      <c r="A33" t="s">
        <v>127</v>
      </c>
      <c r="B33">
        <v>10</v>
      </c>
      <c r="C33">
        <v>3</v>
      </c>
      <c r="D33" s="11">
        <f>(((Table13[[#This Row],[Hit Dice]]/2)+0.5)+VLOOKUP("Constitution",Table5[[Ability]:[Modifiers]],3,FALSE))*Table13[[#This Row],[Levels]]</f>
        <v>22.5</v>
      </c>
    </row>
    <row r="34" spans="1:13" x14ac:dyDescent="0.35">
      <c r="A34" t="s">
        <v>128</v>
      </c>
      <c r="B34">
        <v>6</v>
      </c>
      <c r="C34">
        <v>3</v>
      </c>
      <c r="D34" s="11">
        <f>(((Table13[[#This Row],[Hit Dice]]/2)+0.5)+VLOOKUP("Constitution",Table5[[Ability]:[Modifiers]],3,FALSE))*Table13[[#This Row],[Levels]]</f>
        <v>16.5</v>
      </c>
    </row>
    <row r="35" spans="1:13" x14ac:dyDescent="0.35">
      <c r="A35" t="s">
        <v>129</v>
      </c>
      <c r="B35">
        <v>10</v>
      </c>
      <c r="C35">
        <v>3</v>
      </c>
      <c r="D35" s="11">
        <f>(((Table13[[#This Row],[Hit Dice]]/2)+0.5)+VLOOKUP("Constitution",Table5[[Ability]:[Modifiers]],3,FALSE))*Table13[[#This Row],[Levels]]</f>
        <v>22.5</v>
      </c>
      <c r="G35" t="s">
        <v>416</v>
      </c>
      <c r="H35" s="9" t="s">
        <v>601</v>
      </c>
      <c r="J35" t="s">
        <v>115</v>
      </c>
      <c r="K35" s="10">
        <f>VLOOKUP($H$35,Enemies[[Creature ]:[AC]],3,FALSE)</f>
        <v>18</v>
      </c>
    </row>
    <row r="36" spans="1:13" x14ac:dyDescent="0.35">
      <c r="G36" t="s">
        <v>149</v>
      </c>
      <c r="H36" t="s">
        <v>417</v>
      </c>
      <c r="I36" t="s">
        <v>419</v>
      </c>
      <c r="J36" t="s">
        <v>418</v>
      </c>
      <c r="K36" t="s">
        <v>420</v>
      </c>
      <c r="L36" t="s">
        <v>422</v>
      </c>
      <c r="M36" t="s">
        <v>421</v>
      </c>
    </row>
    <row r="37" spans="1:13" x14ac:dyDescent="0.35">
      <c r="A37" s="13" t="s">
        <v>167</v>
      </c>
      <c r="G37" t="str">
        <f>G27</f>
        <v>Shocking Grasp</v>
      </c>
      <c r="H37" s="23">
        <f>VLOOKUP($K$35-VLOOKUP($F$16,Proficiency[],2,FALSE),'Rules of the Game'!$G$88:$T$108,3,FALSE)</f>
        <v>0.54999999999999993</v>
      </c>
      <c r="I37" s="22">
        <f>(VLOOKUP(Table6276[[#This Row],[Attack]],Table4975[],6,FALSE)*Table6276[[#This Row],[% to Hit]])+(0.05*2*VLOOKUP(Table6276[[#This Row],[Attack]],Table4975[],6,FALSE))</f>
        <v>10.399999999999999</v>
      </c>
      <c r="J37" s="23">
        <f>VLOOKUP($K$35-VLOOKUP($F$16,Proficiency[],2,FALSE),'Rules of the Game'!$G$88:$T$107,6,FALSE)</f>
        <v>0.79749999999999999</v>
      </c>
      <c r="K37" s="22">
        <f>(VLOOKUP(Table6276[[#This Row],[Attack]],Table4975[],6,FALSE)*Table6276[[#This Row],[% ADV]])+(0.1*2*VLOOKUP(Table6276[[#This Row],[Attack]],Table4975[],6,FALSE))</f>
        <v>15.96</v>
      </c>
      <c r="L37" s="23">
        <f>VLOOKUP($K$35-VLOOKUP($F$16,Proficiency[],2,FALSE),'Rules of the Game'!$G$88:$T$107,7,FALSE)</f>
        <v>0.25</v>
      </c>
      <c r="M37" s="11">
        <f>(VLOOKUP(Table6276[[#This Row],[Attack]],Table4975[],6,FALSE)*Table6276[[#This Row],[% DIS]])+(0.0025*2*VLOOKUP(Table6276[[#This Row],[Attack]],Table4975[],6,FALSE))</f>
        <v>4.08</v>
      </c>
    </row>
    <row r="38" spans="1:13" x14ac:dyDescent="0.35">
      <c r="A38" s="1" t="s">
        <v>50</v>
      </c>
      <c r="B38" s="1" t="s">
        <v>171</v>
      </c>
      <c r="G38" t="str">
        <f>G28</f>
        <v>Ray of Frost</v>
      </c>
      <c r="H38" s="23">
        <f>VLOOKUP($K$35-VLOOKUP($F$16,Proficiency[],2,FALSE),'Rules of the Game'!$G$88:$T$108,3,FALSE)</f>
        <v>0.54999999999999993</v>
      </c>
      <c r="I38" s="22">
        <f>(VLOOKUP(Table6276[[#This Row],[Attack]],Table4975[],6,FALSE)*Table6276[[#This Row],[% to Hit]])+(0.05*2*VLOOKUP(Table6276[[#This Row],[Attack]],Table4975[],6,FALSE))</f>
        <v>10.399999999999999</v>
      </c>
      <c r="J38" s="23">
        <f>VLOOKUP($K$35-VLOOKUP($F$16,Proficiency[],2,FALSE),'Rules of the Game'!$G$88:$T$107,6,FALSE)</f>
        <v>0.79749999999999999</v>
      </c>
      <c r="K38" s="22">
        <f>(VLOOKUP(Table6276[[#This Row],[Attack]],Table4975[],6,FALSE)*Table6276[[#This Row],[% ADV]])+(0.1*2*VLOOKUP(Table6276[[#This Row],[Attack]],Table4975[],6,FALSE))</f>
        <v>15.96</v>
      </c>
      <c r="L38" s="23">
        <f>VLOOKUP($K$35-VLOOKUP($F$16,Proficiency[],2,FALSE),'Rules of the Game'!$G$88:$T$107,7,FALSE)</f>
        <v>0.25</v>
      </c>
      <c r="M38" s="11">
        <f>(VLOOKUP(Table6276[[#This Row],[Attack]],Table4975[],6,FALSE)*Table6276[[#This Row],[% DIS]])+(0.0025*2*VLOOKUP(Table6276[[#This Row],[Attack]],Table4975[],6,FALSE))</f>
        <v>4.08</v>
      </c>
    </row>
    <row r="39" spans="1:13" x14ac:dyDescent="0.35">
      <c r="A39">
        <v>1</v>
      </c>
      <c r="B39" t="s">
        <v>47</v>
      </c>
      <c r="G39" s="2" t="str">
        <f>G29</f>
        <v>Firebolt</v>
      </c>
      <c r="H39" s="23">
        <f>VLOOKUP($K$35-VLOOKUP($F$16,Proficiency[],2,FALSE),'Rules of the Game'!$G$88:$T$108,3,FALSE)</f>
        <v>0.54999999999999993</v>
      </c>
      <c r="I39" s="22">
        <f>(VLOOKUP(Table6276[[#This Row],[Attack]],Table4975[],6,FALSE)*Table6276[[#This Row],[% to Hit]])+(0.05*2*VLOOKUP(Table6276[[#This Row],[Attack]],Table4975[],6,FALSE))</f>
        <v>12.999999999999998</v>
      </c>
      <c r="J39" s="23">
        <f>VLOOKUP($K$35-VLOOKUP($F$16,Proficiency[],2,FALSE),'Rules of the Game'!$G$88:$T$107,6,FALSE)</f>
        <v>0.79749999999999999</v>
      </c>
      <c r="K39" s="22">
        <f>(VLOOKUP(Table6276[[#This Row],[Attack]],Table4975[],6,FALSE)*Table6276[[#This Row],[% ADV]])+(0.1*2*VLOOKUP(Table6276[[#This Row],[Attack]],Table4975[],6,FALSE))</f>
        <v>19.95</v>
      </c>
      <c r="L39" s="23">
        <f>VLOOKUP($K$35-VLOOKUP($F$16,Proficiency[],2,FALSE),'Rules of the Game'!$G$88:$T$108,7,FALSE)</f>
        <v>0.25</v>
      </c>
      <c r="M39" s="11">
        <f>(VLOOKUP(Table6276[[#This Row],[Attack]],Table4975[],6,FALSE)*Table6276[[#This Row],[% DIS]])+(0.0025*2*VLOOKUP(Table6276[[#This Row],[Attack]],Table4975[],6,FALSE))</f>
        <v>5.0999999999999996</v>
      </c>
    </row>
    <row r="40" spans="1:13" x14ac:dyDescent="0.35">
      <c r="A40">
        <v>1</v>
      </c>
      <c r="B40" t="s">
        <v>170</v>
      </c>
      <c r="G40" s="2" t="str">
        <f>G30</f>
        <v>Card</v>
      </c>
      <c r="H40" s="23">
        <f>VLOOKUP($K$35-VLOOKUP($F$16,Proficiency[],2,FALSE),'Rules of the Game'!$G$88:$T$108,3,FALSE)</f>
        <v>0.54999999999999993</v>
      </c>
      <c r="I40" s="22">
        <f>(VLOOKUP(Table6276[[#This Row],[Attack]],Table4975[],6,FALSE)*Table6276[[#This Row],[% to Hit]])+(0.05*2*VLOOKUP(Table6276[[#This Row],[Attack]],Table4975[],6,FALSE))</f>
        <v>5.85</v>
      </c>
      <c r="J40" s="23">
        <f>VLOOKUP($K$35-VLOOKUP($F$16,Proficiency[],2,FALSE),'Rules of the Game'!$G$88:$T$107,6,FALSE)</f>
        <v>0.79749999999999999</v>
      </c>
      <c r="K40" s="22">
        <f>(VLOOKUP(Table6276[[#This Row],[Attack]],Table4975[],6,FALSE)*Table6276[[#This Row],[% ADV]])+(0.1*2*VLOOKUP(Table6276[[#This Row],[Attack]],Table4975[],6,FALSE))</f>
        <v>8.9775000000000009</v>
      </c>
      <c r="L40" s="23">
        <f>VLOOKUP($K$35-VLOOKUP($F$16,Proficiency[],2,FALSE),'Rules of the Game'!$G$88:$T$107,7,FALSE)</f>
        <v>0.25</v>
      </c>
      <c r="M40" s="11">
        <f>(VLOOKUP(Table6276[[#This Row],[Attack]],Table4975[],6,FALSE)*Table6276[[#This Row],[% DIS]])+(0.0025*2*VLOOKUP(Table6276[[#This Row],[Attack]],Table4975[],6,FALSE))</f>
        <v>2.2949999999999999</v>
      </c>
    </row>
    <row r="41" spans="1:13" x14ac:dyDescent="0.35">
      <c r="A41">
        <v>2</v>
      </c>
      <c r="B41" t="s">
        <v>168</v>
      </c>
      <c r="G41" s="2" t="str">
        <f>G31</f>
        <v>Rapier</v>
      </c>
      <c r="H41" s="23">
        <f>VLOOKUP($K$35-VLOOKUP($F$16,Proficiency[],2,FALSE),'Rules of the Game'!$G$88:$T$108,3,FALSE)</f>
        <v>0.54999999999999993</v>
      </c>
      <c r="I41" s="22">
        <f>(VLOOKUP(Table6276[[#This Row],[Attack]],Table4975[],6,FALSE)*Table6276[[#This Row],[% to Hit]])+(0.05*2*VLOOKUP(Table6276[[#This Row],[Attack]],Table4975[],6,FALSE))</f>
        <v>8.4499999999999993</v>
      </c>
      <c r="J41" s="23">
        <f>VLOOKUP($K$35-VLOOKUP($F$16,Proficiency[],2,FALSE),'Rules of the Game'!$G$88:$T$107,6,FALSE)</f>
        <v>0.79749999999999999</v>
      </c>
      <c r="K41" s="22">
        <f>(VLOOKUP(Table6276[[#This Row],[Attack]],Table4975[],6,FALSE)*Table6276[[#This Row],[% ADV]])+(0.1*2*VLOOKUP(Table6276[[#This Row],[Attack]],Table4975[],6,FALSE))</f>
        <v>12.967499999999999</v>
      </c>
      <c r="L41" s="23">
        <f>VLOOKUP($K$35-VLOOKUP($F$16,Proficiency[],2,FALSE),'Rules of the Game'!$G$88:$T$107,7,FALSE)</f>
        <v>0.25</v>
      </c>
      <c r="M41" s="11">
        <f>(VLOOKUP(Table6276[[#This Row],[Attack]],Table4975[],6,FALSE)*Table6276[[#This Row],[% DIS]])+(0.0025*2*VLOOKUP(Table6276[[#This Row],[Attack]],Table4975[],6,FALSE))</f>
        <v>3.3149999999999999</v>
      </c>
    </row>
    <row r="42" spans="1:13" x14ac:dyDescent="0.35">
      <c r="A42">
        <v>2</v>
      </c>
      <c r="B42" t="s">
        <v>169</v>
      </c>
      <c r="G42" t="str">
        <f t="shared" ref="G42" si="1">G32</f>
        <v>Oni Glaive</v>
      </c>
      <c r="H42" s="23">
        <f>VLOOKUP($K$35-VLOOKUP($F$16,Proficiency[],2,FALSE),'Rules of the Game'!$G$88:$T$108,3,FALSE)</f>
        <v>0.54999999999999993</v>
      </c>
      <c r="I42" s="22">
        <f>(VLOOKUP(Table6276[[#This Row],[Attack]],Table4975[],6,FALSE)*Table6276[[#This Row],[% to Hit]])+(0.05*2*VLOOKUP(Table6276[[#This Row],[Attack]],Table4975[],6,FALSE))</f>
        <v>10.399999999999999</v>
      </c>
      <c r="J42" s="23">
        <f>VLOOKUP($K$35-VLOOKUP($F$16,Proficiency[],2,FALSE),'Rules of the Game'!$G$88:$T$107,6,FALSE)</f>
        <v>0.79749999999999999</v>
      </c>
      <c r="K42" s="22">
        <f>(VLOOKUP(Table6276[[#This Row],[Attack]],Table4975[],6,FALSE)*Table6276[[#This Row],[% ADV]])+(0.1*2*VLOOKUP(Table6276[[#This Row],[Attack]],Table4975[],6,FALSE))</f>
        <v>15.96</v>
      </c>
      <c r="L42" s="23">
        <f>VLOOKUP($K$35-VLOOKUP($F$16,Proficiency[],2,FALSE),'Rules of the Game'!$G$88:$T$107,7,FALSE)</f>
        <v>0.25</v>
      </c>
      <c r="M42" s="11">
        <f>(VLOOKUP(Table6276[[#This Row],[Attack]],Table4975[],6,FALSE)*Table6276[[#This Row],[% DIS]])+(0.0025*2*VLOOKUP(Table6276[[#This Row],[Attack]],Table4975[],6,FALSE))</f>
        <v>4.08</v>
      </c>
    </row>
    <row r="44" spans="1:13" x14ac:dyDescent="0.35">
      <c r="A44" s="13" t="s">
        <v>172</v>
      </c>
      <c r="G44" t="s">
        <v>628</v>
      </c>
    </row>
    <row r="45" spans="1:13" x14ac:dyDescent="0.35">
      <c r="A45" s="1" t="s">
        <v>50</v>
      </c>
      <c r="B45" s="1" t="s">
        <v>171</v>
      </c>
      <c r="G45" s="1" t="s">
        <v>631</v>
      </c>
      <c r="H45" s="1" t="s">
        <v>498</v>
      </c>
      <c r="I45" s="1" t="s">
        <v>629</v>
      </c>
      <c r="J45" s="1" t="s">
        <v>634</v>
      </c>
    </row>
    <row r="46" spans="1:13" x14ac:dyDescent="0.35">
      <c r="A46">
        <v>1</v>
      </c>
      <c r="B46" t="s">
        <v>173</v>
      </c>
      <c r="G46" s="9" t="s">
        <v>87</v>
      </c>
      <c r="H46" t="s">
        <v>630</v>
      </c>
      <c r="I46">
        <v>2</v>
      </c>
      <c r="J46" t="str">
        <f>IF(Table5557[[#This Row],[Active]]="Yes",Table5557[[#This Row],[AC Bonus]],"")</f>
        <v/>
      </c>
    </row>
    <row r="47" spans="1:13" x14ac:dyDescent="0.35">
      <c r="A47">
        <v>1</v>
      </c>
      <c r="B47" t="s">
        <v>49</v>
      </c>
      <c r="G47" s="9" t="s">
        <v>87</v>
      </c>
      <c r="H47" t="s">
        <v>632</v>
      </c>
      <c r="I47">
        <v>2</v>
      </c>
      <c r="J47" t="str">
        <f>IF(Table5557[[#This Row],[Active]]="Yes",Table5557[[#This Row],[AC Bonus]],"")</f>
        <v/>
      </c>
    </row>
    <row r="48" spans="1:13" x14ac:dyDescent="0.35">
      <c r="A48">
        <v>1</v>
      </c>
      <c r="B48" t="s">
        <v>174</v>
      </c>
      <c r="G48" s="9" t="s">
        <v>87</v>
      </c>
      <c r="H48" t="s">
        <v>633</v>
      </c>
      <c r="I48">
        <v>1</v>
      </c>
      <c r="J48" t="str">
        <f>IF(Table5557[[#This Row],[Active]]="Yes",Table5557[[#This Row],[AC Bonus]],"")</f>
        <v/>
      </c>
    </row>
    <row r="49" spans="1:13" x14ac:dyDescent="0.35">
      <c r="A49">
        <v>1</v>
      </c>
      <c r="B49" t="s">
        <v>175</v>
      </c>
      <c r="G49" s="9" t="s">
        <v>87</v>
      </c>
      <c r="H49" t="s">
        <v>44</v>
      </c>
      <c r="I49">
        <v>2</v>
      </c>
      <c r="J49" t="str">
        <f>IF(Table5557[[#This Row],[Active]]="Yes",Table5557[[#This Row],[AC Bonus]],"")</f>
        <v/>
      </c>
    </row>
    <row r="50" spans="1:13" x14ac:dyDescent="0.35">
      <c r="A50">
        <v>1</v>
      </c>
      <c r="B50" t="s">
        <v>47</v>
      </c>
      <c r="G50" s="54" t="s">
        <v>87</v>
      </c>
      <c r="H50" s="38" t="s">
        <v>160</v>
      </c>
      <c r="I50" s="38">
        <v>5</v>
      </c>
      <c r="J50" s="55" t="str">
        <f>IF(Table5557[[#This Row],[Active]]="Yes",Table5557[[#This Row],[AC Bonus]],"")</f>
        <v/>
      </c>
    </row>
    <row r="51" spans="1:13" x14ac:dyDescent="0.35">
      <c r="A51">
        <v>1</v>
      </c>
      <c r="B51" t="s">
        <v>176</v>
      </c>
      <c r="G51" s="54" t="s">
        <v>87</v>
      </c>
      <c r="H51" s="38" t="s">
        <v>658</v>
      </c>
      <c r="I51" s="38">
        <v>2</v>
      </c>
      <c r="J51" s="55" t="str">
        <f>IF(Table5557[[#This Row],[Active]]="Yes",Table5557[[#This Row],[AC Bonus]],"")</f>
        <v/>
      </c>
    </row>
    <row r="52" spans="1:13" x14ac:dyDescent="0.35">
      <c r="G52" s="54" t="s">
        <v>87</v>
      </c>
      <c r="H52" s="38" t="s">
        <v>659</v>
      </c>
      <c r="I52" s="38">
        <v>5</v>
      </c>
      <c r="J52" s="55" t="str">
        <f>IF(Table5557[[#This Row],[Active]]="Yes",Table5557[[#This Row],[AC Bonus]],"")</f>
        <v/>
      </c>
    </row>
    <row r="53" spans="1:13" x14ac:dyDescent="0.35">
      <c r="G53" s="54" t="s">
        <v>87</v>
      </c>
      <c r="H53" s="38" t="s">
        <v>49</v>
      </c>
      <c r="I53" s="38"/>
      <c r="J53" s="55" t="str">
        <f>IF(Table5557[[#This Row],[Active]]="Yes",Table5557[[#This Row],[AC Bonus]],"")</f>
        <v/>
      </c>
    </row>
    <row r="55" spans="1:13" x14ac:dyDescent="0.35">
      <c r="G55" t="s">
        <v>662</v>
      </c>
    </row>
    <row r="56" spans="1:13" x14ac:dyDescent="0.35">
      <c r="G56" s="1" t="s">
        <v>171</v>
      </c>
      <c r="H56" s="1" t="s">
        <v>663</v>
      </c>
      <c r="I56" s="1" t="s">
        <v>122</v>
      </c>
      <c r="J56" s="1" t="s">
        <v>664</v>
      </c>
      <c r="K56" s="1" t="s">
        <v>665</v>
      </c>
      <c r="L56" s="1" t="s">
        <v>666</v>
      </c>
      <c r="M56" s="1" t="s">
        <v>667</v>
      </c>
    </row>
    <row r="57" spans="1:13" x14ac:dyDescent="0.35">
      <c r="G57" t="s">
        <v>668</v>
      </c>
      <c r="H57">
        <v>4</v>
      </c>
      <c r="L57">
        <v>4</v>
      </c>
    </row>
    <row r="58" spans="1:13" x14ac:dyDescent="0.35">
      <c r="G58" t="s">
        <v>669</v>
      </c>
      <c r="H58">
        <v>4</v>
      </c>
      <c r="M58">
        <v>4</v>
      </c>
    </row>
    <row r="59" spans="1:13" x14ac:dyDescent="0.35">
      <c r="G59" t="s">
        <v>670</v>
      </c>
      <c r="H59">
        <v>4</v>
      </c>
      <c r="L59">
        <v>4</v>
      </c>
    </row>
    <row r="60" spans="1:13" x14ac:dyDescent="0.35">
      <c r="G60" t="s">
        <v>671</v>
      </c>
      <c r="J60">
        <v>4</v>
      </c>
      <c r="M60">
        <v>4</v>
      </c>
    </row>
    <row r="61" spans="1:13" x14ac:dyDescent="0.35">
      <c r="G61" t="s">
        <v>672</v>
      </c>
      <c r="K61">
        <v>4</v>
      </c>
      <c r="L61">
        <v>4</v>
      </c>
    </row>
    <row r="62" spans="1:13" x14ac:dyDescent="0.35">
      <c r="G62" t="s">
        <v>673</v>
      </c>
      <c r="J62">
        <v>2</v>
      </c>
    </row>
    <row r="63" spans="1:13" x14ac:dyDescent="0.35">
      <c r="G63" t="s">
        <v>674</v>
      </c>
    </row>
    <row r="64" spans="1:13" x14ac:dyDescent="0.35">
      <c r="G64" t="s">
        <v>675</v>
      </c>
      <c r="M64">
        <v>4</v>
      </c>
    </row>
    <row r="68" spans="7:13" x14ac:dyDescent="0.35">
      <c r="G68" t="s">
        <v>70</v>
      </c>
      <c r="H68">
        <f>$B$2+SUBTOTAL(109,Table54[Strength Bonus])</f>
        <v>23</v>
      </c>
      <c r="I68">
        <f>$B$3+SUBTOTAL(109,Table54[Dexterity Bonus])</f>
        <v>20</v>
      </c>
      <c r="J68">
        <f>$B$4+SUBTOTAL(109,Table54[Constitution Bonus])</f>
        <v>21</v>
      </c>
      <c r="K68">
        <f>$B$5+SUBTOTAL(109,Table54[Intelligence Bonus])</f>
        <v>24</v>
      </c>
      <c r="L68">
        <f>$B$6+SUBTOTAL(109,Table54[Wisdom Bonus])</f>
        <v>23</v>
      </c>
      <c r="M68">
        <f>$B$7+SUBTOTAL(109,Table54[Charisma Bonus])</f>
        <v>26</v>
      </c>
    </row>
  </sheetData>
  <pageMargins left="0.7" right="0.7" top="0.75" bottom="0.75" header="0.3" footer="0.3"/>
  <pageSetup orientation="portrait" r:id="rId1"/>
  <ignoredErrors>
    <ignoredError sqref="L27:L29 L32 L37:L42 K30:K32 H27:H32" calculatedColumn="1"/>
  </ignoredErrors>
  <tableParts count="7">
    <tablePart r:id="rId2"/>
    <tablePart r:id="rId3"/>
    <tablePart r:id="rId4"/>
    <tablePart r:id="rId5"/>
    <tablePart r:id="rId6"/>
    <tablePart r:id="rId7"/>
    <tablePart r:id="rId8"/>
  </tableParts>
  <extLst>
    <ext xmlns:x14="http://schemas.microsoft.com/office/spreadsheetml/2009/9/main" uri="{CCE6A557-97BC-4b89-ADB6-D9C93CAAB3DF}">
      <x14:dataValidations xmlns:xm="http://schemas.microsoft.com/office/excel/2006/main" count="5">
        <x14:dataValidation type="list" allowBlank="1" showInputMessage="1" showErrorMessage="1" xr:uid="{3EEB0563-748A-4C9A-A57A-CFAC4D5DE425}">
          <x14:formula1>
            <xm:f>'Rules of the Game'!$D$1:$D$2</xm:f>
          </x14:formula1>
          <xm:sqref>D2:D7 F10 G46:G53</xm:sqref>
        </x14:dataValidation>
        <x14:dataValidation type="list" allowBlank="1" showInputMessage="1" showErrorMessage="1" xr:uid="{2D8731B3-788A-467D-B64B-DA19A5B8B341}">
          <x14:formula1>
            <xm:f>'Rules of the Game'!$D$4:$D$6</xm:f>
          </x14:formula1>
          <xm:sqref>B11:B28</xm:sqref>
        </x14:dataValidation>
        <x14:dataValidation type="list" allowBlank="1" showInputMessage="1" showErrorMessage="1" xr:uid="{E98DE328-E371-46AC-95BB-558CEC23D78E}">
          <x14:formula1>
            <xm:f>'Rules of the Game'!$D$42:$D$53</xm:f>
          </x14:formula1>
          <xm:sqref>F11</xm:sqref>
        </x14:dataValidation>
        <x14:dataValidation type="list" allowBlank="1" showInputMessage="1" showErrorMessage="1" xr:uid="{FD994E36-EC07-4192-B870-2A261ADD6510}">
          <x14:formula1>
            <xm:f>'Rules of the Game'!$V$3:$V$15</xm:f>
          </x14:formula1>
          <xm:sqref>H35</xm:sqref>
        </x14:dataValidation>
        <x14:dataValidation type="list" allowBlank="1" showInputMessage="1" showErrorMessage="1" xr:uid="{99370F29-4748-435F-AED8-A3FB0C64013D}">
          <x14:formula1>
            <xm:f>'Rules of the Game'!$H$74:$H$85</xm:f>
          </x14:formula1>
          <xm:sqref>G32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E4DCE-3D0F-4EB4-BB4D-C8F236EB2375}">
  <sheetPr codeName="Sheet4"/>
  <dimension ref="A1:P61"/>
  <sheetViews>
    <sheetView topLeftCell="B27" zoomScale="105" zoomScaleNormal="113" workbookViewId="0">
      <selection activeCell="I57" sqref="I57"/>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17.81640625" bestFit="1" customWidth="1"/>
    <col min="8" max="8" width="23.54296875" bestFit="1" customWidth="1"/>
    <col min="9" max="9" width="14.81640625" customWidth="1"/>
    <col min="10" max="10" width="11.453125" bestFit="1" customWidth="1"/>
    <col min="11" max="11" width="16" customWidth="1"/>
    <col min="12" max="12" width="15.26953125" customWidth="1"/>
    <col min="13" max="13" width="17.1796875" bestFit="1" customWidth="1"/>
    <col min="14" max="14" width="13.1796875" bestFit="1" customWidth="1"/>
    <col min="15" max="15" width="27.1796875" bestFit="1"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21</v>
      </c>
      <c r="C2">
        <f>VLOOKUP(Table515[[#This Row],[Score]],Modifier[],2,FALSE)</f>
        <v>5</v>
      </c>
      <c r="D2" t="s">
        <v>87</v>
      </c>
      <c r="E2">
        <f>IF(Table515[[#This Row],[Proficiency?]]="No",Table515[[#This Row],[Modifiers]],VLOOKUP($F$16,Proficiency[],2,FALSE)+Table515[[#This Row],[Modifiers]])</f>
        <v>5</v>
      </c>
      <c r="H2" t="s">
        <v>136</v>
      </c>
      <c r="I2" t="s">
        <v>177</v>
      </c>
      <c r="O2" t="s">
        <v>151</v>
      </c>
      <c r="P2" t="s">
        <v>182</v>
      </c>
    </row>
    <row r="3" spans="1:16" x14ac:dyDescent="0.35">
      <c r="A3" t="s">
        <v>1</v>
      </c>
      <c r="B3">
        <v>16</v>
      </c>
      <c r="C3">
        <f>VLOOKUP(Table515[[#This Row],[Score]],Modifier[],2,FALSE)</f>
        <v>3</v>
      </c>
      <c r="D3" t="s">
        <v>87</v>
      </c>
      <c r="E3">
        <f>IF(Table515[[#This Row],[Proficiency?]]="No",Table515[[#This Row],[Modifiers]],VLOOKUP($F$16,Proficiency[],2,FALSE)+Table515[[#This Row],[Modifiers]])</f>
        <v>3</v>
      </c>
      <c r="H3" t="s">
        <v>137</v>
      </c>
      <c r="I3" t="s">
        <v>184</v>
      </c>
      <c r="O3" t="s">
        <v>152</v>
      </c>
    </row>
    <row r="4" spans="1:16" x14ac:dyDescent="0.35">
      <c r="A4" t="s">
        <v>2</v>
      </c>
      <c r="B4">
        <v>16</v>
      </c>
      <c r="C4">
        <f>VLOOKUP(Table515[[#This Row],[Score]],Modifier[],2,FALSE)</f>
        <v>3</v>
      </c>
      <c r="D4" t="s">
        <v>86</v>
      </c>
      <c r="E4">
        <f>IF(Table515[[#This Row],[Proficiency?]]="No",Table515[[#This Row],[Modifiers]],VLOOKUP($F$16,Proficiency[],2,FALSE)+Table515[[#This Row],[Modifiers]])</f>
        <v>11</v>
      </c>
      <c r="H4" t="s">
        <v>138</v>
      </c>
      <c r="I4" t="s">
        <v>185</v>
      </c>
      <c r="O4" t="s">
        <v>153</v>
      </c>
    </row>
    <row r="5" spans="1:16" x14ac:dyDescent="0.35">
      <c r="A5" t="s">
        <v>3</v>
      </c>
      <c r="B5">
        <v>20</v>
      </c>
      <c r="C5">
        <f>VLOOKUP(Table515[[#This Row],[Score]],Modifier[],2,FALSE)</f>
        <v>5</v>
      </c>
      <c r="D5" t="s">
        <v>86</v>
      </c>
      <c r="E5">
        <f>IF(Table515[[#This Row],[Proficiency?]]="No",Table515[[#This Row],[Modifiers]],VLOOKUP($F$16,Proficiency[],2,FALSE)+Table515[[#This Row],[Modifiers]])</f>
        <v>13</v>
      </c>
      <c r="H5" t="s">
        <v>186</v>
      </c>
      <c r="O5" t="s">
        <v>154</v>
      </c>
    </row>
    <row r="6" spans="1:16" x14ac:dyDescent="0.35">
      <c r="A6" t="s">
        <v>4</v>
      </c>
      <c r="B6">
        <v>11</v>
      </c>
      <c r="C6">
        <f>VLOOKUP(Table515[[#This Row],[Score]],Modifier[],2,FALSE)</f>
        <v>0</v>
      </c>
      <c r="D6" t="s">
        <v>86</v>
      </c>
      <c r="E6">
        <f>IF(Table515[[#This Row],[Proficiency?]]="No",Table515[[#This Row],[Modifiers]],VLOOKUP($F$16,Proficiency[],2,FALSE)+Table515[[#This Row],[Modifiers]])</f>
        <v>8</v>
      </c>
      <c r="H6" t="s">
        <v>139</v>
      </c>
      <c r="I6" t="s">
        <v>187</v>
      </c>
      <c r="O6" t="s">
        <v>155</v>
      </c>
    </row>
    <row r="7" spans="1:16" x14ac:dyDescent="0.35">
      <c r="A7" t="s">
        <v>5</v>
      </c>
      <c r="B7">
        <v>14</v>
      </c>
      <c r="C7">
        <f>VLOOKUP(Table515[[#This Row],[Score]],Modifier[],2,FALSE)</f>
        <v>2</v>
      </c>
      <c r="D7" t="s">
        <v>87</v>
      </c>
      <c r="E7">
        <f>IF(Table515[[#This Row],[Proficiency?]]="No",Table515[[#This Row],[Modifiers]],VLOOKUP($F$16,Proficiency[],2,FALSE)+Table515[[#This Row],[Modifiers]])</f>
        <v>2</v>
      </c>
      <c r="H7" t="s">
        <v>140</v>
      </c>
      <c r="I7" t="s">
        <v>188</v>
      </c>
      <c r="O7" t="s">
        <v>154</v>
      </c>
    </row>
    <row r="8" spans="1:16" x14ac:dyDescent="0.35">
      <c r="H8" t="s">
        <v>141</v>
      </c>
      <c r="I8" t="s">
        <v>189</v>
      </c>
      <c r="O8" t="s">
        <v>156</v>
      </c>
    </row>
    <row r="10" spans="1:16" x14ac:dyDescent="0.35">
      <c r="A10" t="s">
        <v>90</v>
      </c>
      <c r="B10" t="s">
        <v>91</v>
      </c>
      <c r="C10" t="s">
        <v>13</v>
      </c>
      <c r="E10" t="s">
        <v>116</v>
      </c>
      <c r="F10" s="9" t="s">
        <v>87</v>
      </c>
      <c r="H10" s="1" t="s">
        <v>142</v>
      </c>
      <c r="I10" s="1" t="s">
        <v>135</v>
      </c>
      <c r="O10" s="1" t="s">
        <v>157</v>
      </c>
      <c r="P10" s="1" t="s">
        <v>135</v>
      </c>
    </row>
    <row r="11" spans="1:16" x14ac:dyDescent="0.35">
      <c r="A11" t="s">
        <v>94</v>
      </c>
      <c r="B11" t="s">
        <v>84</v>
      </c>
      <c r="C11">
        <f>VLOOKUP(VLOOKUP(Table916[[#This Row],[Skills]],Table10[],2,FALSE),Table5[[Ability]:[Modifiers]],3,FALSE)+VLOOKUP(Table916[[#This Row],[Proficiency Level]],Table11[],3,FALSE)</f>
        <v>14</v>
      </c>
      <c r="E11" t="s">
        <v>117</v>
      </c>
      <c r="F11" s="9" t="s">
        <v>194</v>
      </c>
      <c r="H11" t="s">
        <v>143</v>
      </c>
      <c r="I11" t="s">
        <v>183</v>
      </c>
      <c r="O11" t="s">
        <v>158</v>
      </c>
    </row>
    <row r="12" spans="1:16" x14ac:dyDescent="0.35">
      <c r="A12" t="s">
        <v>95</v>
      </c>
      <c r="B12" t="s">
        <v>92</v>
      </c>
      <c r="C12">
        <f>VLOOKUP(VLOOKUP(Table916[[#This Row],[Skills]],Table10[],2,FALSE),Table5[[Ability]:[Modifiers]],3,FALSE)+VLOOKUP(Table916[[#This Row],[Proficiency Level]],Table11[],3,FALSE)</f>
        <v>0</v>
      </c>
      <c r="E12" t="s">
        <v>122</v>
      </c>
      <c r="F12" s="10">
        <f>IF(ISNUMBER(VLOOKUP('Ki-rin'!F11,Table12[],3,FALSE))=FALSE,IF(VLOOKUP('Ki-rin'!F11,Table12[],3,FALSE)="Yes",'Ki-rin'!$C$3,0),VLOOKUP('Ki-rin'!F11,Table12[],3,FALSE))</f>
        <v>0</v>
      </c>
      <c r="H12" t="s">
        <v>144</v>
      </c>
      <c r="I12" t="s">
        <v>190</v>
      </c>
      <c r="O12" t="s">
        <v>159</v>
      </c>
    </row>
    <row r="13" spans="1:16" x14ac:dyDescent="0.35">
      <c r="A13" t="s">
        <v>96</v>
      </c>
      <c r="B13" t="s">
        <v>84</v>
      </c>
      <c r="C13">
        <f>VLOOKUP(VLOOKUP(Table916[[#This Row],[Skills]],Table10[],2,FALSE),Table5[[Ability]:[Modifiers]],3,FALSE)+VLOOKUP(Table916[[#This Row],[Proficiency Level]],Table11[],3,FALSE)</f>
        <v>14</v>
      </c>
      <c r="E13" t="s">
        <v>123</v>
      </c>
      <c r="F13" s="9">
        <v>0</v>
      </c>
      <c r="H13" t="s">
        <v>145</v>
      </c>
      <c r="I13" t="s">
        <v>191</v>
      </c>
      <c r="O13" t="s">
        <v>160</v>
      </c>
    </row>
    <row r="14" spans="1:16" x14ac:dyDescent="0.35">
      <c r="A14" t="s">
        <v>97</v>
      </c>
      <c r="B14" t="s">
        <v>92</v>
      </c>
      <c r="C14">
        <f>VLOOKUP(VLOOKUP(Table916[[#This Row],[Skills]],Table10[],2,FALSE),Table5[[Ability]:[Modifiers]],3,FALSE)+VLOOKUP(Table916[[#This Row],[Proficiency Level]],Table11[],3,FALSE)</f>
        <v>0</v>
      </c>
      <c r="H14" t="s">
        <v>146</v>
      </c>
      <c r="I14" t="s">
        <v>192</v>
      </c>
      <c r="O14" t="s">
        <v>161</v>
      </c>
    </row>
    <row r="15" spans="1:16" x14ac:dyDescent="0.35">
      <c r="A15" t="s">
        <v>98</v>
      </c>
      <c r="B15" t="s">
        <v>84</v>
      </c>
      <c r="C15">
        <f>VLOOKUP(VLOOKUP(Table916[[#This Row],[Skills]],Table10[],2,FALSE),Table5[[Ability]:[Modifiers]],3,FALSE)+VLOOKUP(Table916[[#This Row],[Proficiency Level]],Table11[],3,FALSE)</f>
        <v>11</v>
      </c>
      <c r="H15" t="s">
        <v>147</v>
      </c>
      <c r="O15" t="s">
        <v>162</v>
      </c>
    </row>
    <row r="16" spans="1:16" x14ac:dyDescent="0.35">
      <c r="A16" t="s">
        <v>99</v>
      </c>
      <c r="B16" t="s">
        <v>92</v>
      </c>
      <c r="C16">
        <f>VLOOKUP(VLOOKUP(Table916[[#This Row],[Skills]],Table10[],2,FALSE),Table5[[Ability]:[Modifiers]],3,FALSE)+VLOOKUP(Table916[[#This Row],[Proficiency Level]],Table11[],3,FALSE)</f>
        <v>5</v>
      </c>
      <c r="E16" s="1" t="s">
        <v>88</v>
      </c>
      <c r="F16" s="9">
        <v>30</v>
      </c>
      <c r="H16" t="s">
        <v>148</v>
      </c>
      <c r="O16" t="s">
        <v>163</v>
      </c>
    </row>
    <row r="17" spans="1:16" x14ac:dyDescent="0.35">
      <c r="A17" t="s">
        <v>100</v>
      </c>
      <c r="B17" t="s">
        <v>84</v>
      </c>
      <c r="C17">
        <f>VLOOKUP(VLOOKUP(Table916[[#This Row],[Skills]],Table10[],2,FALSE),Table5[[Ability]:[Modifiers]],3,FALSE)+VLOOKUP(Table916[[#This Row],[Proficiency Level]],Table11[],3,FALSE)</f>
        <v>9</v>
      </c>
      <c r="E17" s="1" t="s">
        <v>115</v>
      </c>
      <c r="F17" s="10">
        <f>IF('Ki-rin'!F10="Yes",VLOOKUP(F11,Table12[],2,FALSE)+'Ki-rin'!F12+2+F13,VLOOKUP(F11,Table12[],2,FALSE)+'Ki-rin'!F12+F13)+SUM(Table55[Applied AC Bonus])</f>
        <v>20</v>
      </c>
      <c r="H17" t="s">
        <v>179</v>
      </c>
      <c r="O17" t="s">
        <v>164</v>
      </c>
    </row>
    <row r="18" spans="1:16" x14ac:dyDescent="0.35">
      <c r="A18" t="s">
        <v>101</v>
      </c>
      <c r="B18" t="s">
        <v>92</v>
      </c>
      <c r="C18">
        <f>VLOOKUP(VLOOKUP(Table916[[#This Row],[Skills]],Table10[],2,FALSE),Table5[[Ability]:[Modifiers]],3,FALSE)+VLOOKUP(Table916[[#This Row],[Proficiency Level]],Table11[],3,FALSE)</f>
        <v>2</v>
      </c>
      <c r="E18" s="1" t="s">
        <v>132</v>
      </c>
      <c r="F18" s="12">
        <f>SUM(Table1317[[Average ]])</f>
        <v>352.5</v>
      </c>
      <c r="H18" t="s">
        <v>180</v>
      </c>
      <c r="O18" t="s">
        <v>165</v>
      </c>
      <c r="P18" t="s">
        <v>198</v>
      </c>
    </row>
    <row r="19" spans="1:16" x14ac:dyDescent="0.35">
      <c r="A19" t="s">
        <v>102</v>
      </c>
      <c r="B19" t="s">
        <v>92</v>
      </c>
      <c r="C19">
        <f>VLOOKUP(VLOOKUP(Table916[[#This Row],[Skills]],Table10[],2,FALSE),Table5[[Ability]:[Modifiers]],3,FALSE)+VLOOKUP(Table916[[#This Row],[Proficiency Level]],Table11[],3,FALSE)</f>
        <v>5</v>
      </c>
      <c r="E19" s="1" t="s">
        <v>178</v>
      </c>
      <c r="F19" s="10">
        <f>8+VLOOKUP("Intelligence",Table515[],3,FALSE)+VLOOKUP(F16,Proficiency[],2,FALSE)</f>
        <v>21</v>
      </c>
      <c r="H19" t="s">
        <v>181</v>
      </c>
      <c r="O19" t="s">
        <v>166</v>
      </c>
    </row>
    <row r="20" spans="1:16" x14ac:dyDescent="0.35">
      <c r="A20" t="s">
        <v>103</v>
      </c>
      <c r="B20" t="s">
        <v>92</v>
      </c>
      <c r="C20">
        <f>VLOOKUP(VLOOKUP(Table916[[#This Row],[Skills]],Table10[],2,FALSE),Table5[[Ability]:[Modifiers]],3,FALSE)+VLOOKUP(Table916[[#This Row],[Proficiency Level]],Table11[],3,FALSE)</f>
        <v>0</v>
      </c>
    </row>
    <row r="21" spans="1:16" x14ac:dyDescent="0.35">
      <c r="A21" t="s">
        <v>104</v>
      </c>
      <c r="B21" t="s">
        <v>92</v>
      </c>
      <c r="C21">
        <f>VLOOKUP(VLOOKUP(Table916[[#This Row],[Skills]],Table10[],2,FALSE),Table5[[Ability]:[Modifiers]],3,FALSE)+VLOOKUP(Table916[[#This Row],[Proficiency Level]],Table11[],3,FALSE)</f>
        <v>5</v>
      </c>
      <c r="E21" s="14" t="s">
        <v>209</v>
      </c>
      <c r="F21" s="10">
        <f>10+C22</f>
        <v>19</v>
      </c>
      <c r="H21" s="1" t="s">
        <v>199</v>
      </c>
    </row>
    <row r="22" spans="1:16" x14ac:dyDescent="0.35">
      <c r="A22" t="s">
        <v>105</v>
      </c>
      <c r="B22" t="s">
        <v>84</v>
      </c>
      <c r="C22">
        <f>VLOOKUP(VLOOKUP(Table916[[#This Row],[Skills]],Table10[],2,FALSE),Table5[[Ability]:[Modifiers]],3,FALSE)+VLOOKUP(Table916[[#This Row],[Proficiency Level]],Table11[],3,FALSE)</f>
        <v>9</v>
      </c>
      <c r="H22" t="s">
        <v>200</v>
      </c>
      <c r="I22">
        <v>3</v>
      </c>
    </row>
    <row r="23" spans="1:16" x14ac:dyDescent="0.35">
      <c r="A23" t="s">
        <v>106</v>
      </c>
      <c r="B23" t="s">
        <v>92</v>
      </c>
      <c r="C23">
        <f>VLOOKUP(VLOOKUP(Table916[[#This Row],[Skills]],Table10[],2,FALSE),Table5[[Ability]:[Modifiers]],3,FALSE)+VLOOKUP(Table916[[#This Row],[Proficiency Level]],Table11[],3,FALSE)</f>
        <v>2</v>
      </c>
      <c r="H23" t="s">
        <v>201</v>
      </c>
    </row>
    <row r="24" spans="1:16" x14ac:dyDescent="0.35">
      <c r="A24" t="s">
        <v>107</v>
      </c>
      <c r="B24" t="s">
        <v>92</v>
      </c>
      <c r="C24">
        <f>VLOOKUP(VLOOKUP(Table916[[#This Row],[Skills]],Table10[],2,FALSE),Table5[[Ability]:[Modifiers]],3,FALSE)+VLOOKUP(Table916[[#This Row],[Proficiency Level]],Table11[],3,FALSE)</f>
        <v>2</v>
      </c>
      <c r="H24" t="s">
        <v>202</v>
      </c>
    </row>
    <row r="25" spans="1:16" x14ac:dyDescent="0.35">
      <c r="A25" t="s">
        <v>108</v>
      </c>
      <c r="B25" t="s">
        <v>84</v>
      </c>
      <c r="C25">
        <f>VLOOKUP(VLOOKUP(Table916[[#This Row],[Skills]],Table10[],2,FALSE),Table5[[Ability]:[Modifiers]],3,FALSE)+VLOOKUP(Table916[[#This Row],[Proficiency Level]],Table11[],3,FALSE)</f>
        <v>14</v>
      </c>
      <c r="H25" t="s">
        <v>203</v>
      </c>
    </row>
    <row r="26" spans="1:16" x14ac:dyDescent="0.35">
      <c r="A26" t="s">
        <v>109</v>
      </c>
      <c r="B26" t="s">
        <v>92</v>
      </c>
      <c r="C26">
        <f>VLOOKUP(VLOOKUP(Table916[[#This Row],[Skills]],Table10[],2,FALSE),Table5[[Ability]:[Modifiers]],3,FALSE)+VLOOKUP(Table916[[#This Row],[Proficiency Level]],Table11[],3,FALSE)</f>
        <v>5</v>
      </c>
      <c r="H26" t="s">
        <v>204</v>
      </c>
      <c r="I26" t="s">
        <v>205</v>
      </c>
    </row>
    <row r="27" spans="1:16" x14ac:dyDescent="0.35">
      <c r="A27" t="s">
        <v>110</v>
      </c>
      <c r="B27" t="s">
        <v>93</v>
      </c>
      <c r="C27">
        <f>VLOOKUP(VLOOKUP(Table916[[#This Row],[Skills]],Table10[],2,FALSE),Table5[[Ability]:[Modifiers]],3,FALSE)+VLOOKUP(Table916[[#This Row],[Proficiency Level]],Table11[],3,FALSE)</f>
        <v>23</v>
      </c>
      <c r="H27" t="s">
        <v>206</v>
      </c>
      <c r="I27" t="s">
        <v>207</v>
      </c>
    </row>
    <row r="28" spans="1:16" x14ac:dyDescent="0.35">
      <c r="A28" t="s">
        <v>111</v>
      </c>
      <c r="B28" t="s">
        <v>92</v>
      </c>
      <c r="C28">
        <f>VLOOKUP(VLOOKUP(Table916[[#This Row],[Skills]],Table10[],2,FALSE),Table5[[Ability]:[Modifiers]],3,FALSE)+VLOOKUP(Table916[[#This Row],[Proficiency Level]],Table11[],3,FALSE)</f>
        <v>0</v>
      </c>
      <c r="H28" t="s">
        <v>208</v>
      </c>
    </row>
    <row r="29" spans="1:16" x14ac:dyDescent="0.35">
      <c r="H29" t="s">
        <v>213</v>
      </c>
    </row>
    <row r="30" spans="1:16" x14ac:dyDescent="0.35">
      <c r="H30" t="s">
        <v>214</v>
      </c>
    </row>
    <row r="31" spans="1:16" x14ac:dyDescent="0.35">
      <c r="A31" t="s">
        <v>124</v>
      </c>
      <c r="B31" t="s">
        <v>125</v>
      </c>
      <c r="C31" t="s">
        <v>130</v>
      </c>
      <c r="D31" t="s">
        <v>133</v>
      </c>
      <c r="H31" t="s">
        <v>215</v>
      </c>
    </row>
    <row r="32" spans="1:16" x14ac:dyDescent="0.35">
      <c r="A32" t="s">
        <v>126</v>
      </c>
      <c r="B32">
        <v>6</v>
      </c>
      <c r="C32">
        <v>20</v>
      </c>
      <c r="D32">
        <f>(((Table1317[[#This Row],[Hit Dice]]/2)+0.5)+VLOOKUP("Constitution",Table515[[Ability]:[Modifiers]],3,FALSE))*Table1317[[#This Row],[Levels]]</f>
        <v>130</v>
      </c>
      <c r="H32" t="s">
        <v>235</v>
      </c>
      <c r="I32" t="s">
        <v>237</v>
      </c>
    </row>
    <row r="33" spans="1:15" x14ac:dyDescent="0.35">
      <c r="A33" t="s">
        <v>127</v>
      </c>
      <c r="B33">
        <v>10</v>
      </c>
      <c r="C33">
        <v>3</v>
      </c>
      <c r="D33" s="11">
        <f>(((Table1317[[#This Row],[Hit Dice]]/2)+0.5)+VLOOKUP("Constitution",Table515[[Ability]:[Modifiers]],3,FALSE))*Table1317[[#This Row],[Levels]]</f>
        <v>25.5</v>
      </c>
    </row>
    <row r="34" spans="1:15" x14ac:dyDescent="0.35">
      <c r="A34" t="s">
        <v>128</v>
      </c>
      <c r="B34">
        <v>6</v>
      </c>
      <c r="C34">
        <v>3</v>
      </c>
      <c r="D34" s="11">
        <f>(((Table1317[[#This Row],[Hit Dice]]/2)+0.5)+VLOOKUP("Constitution",Table515[[Ability]:[Modifiers]],3,FALSE))*Table1317[[#This Row],[Levels]]</f>
        <v>19.5</v>
      </c>
    </row>
    <row r="35" spans="1:15" x14ac:dyDescent="0.35">
      <c r="A35" t="s">
        <v>129</v>
      </c>
      <c r="B35">
        <v>10</v>
      </c>
      <c r="C35">
        <v>3</v>
      </c>
      <c r="D35" s="11">
        <f>(((Table1317[[#This Row],[Hit Dice]]/2)+0.5)+VLOOKUP("Constitution",Table515[[Ability]:[Modifiers]],3,FALSE))*Table1317[[#This Row],[Levels]]</f>
        <v>25.5</v>
      </c>
      <c r="H35" t="s">
        <v>311</v>
      </c>
    </row>
    <row r="36" spans="1:15" x14ac:dyDescent="0.35">
      <c r="A36" t="s">
        <v>60</v>
      </c>
      <c r="B36">
        <v>12</v>
      </c>
      <c r="C36">
        <v>16</v>
      </c>
      <c r="D36" s="2">
        <f>(((Table1317[[#This Row],[Hit Dice]]/2)+0.5)+VLOOKUP("Constitution",Table515[[Ability]:[Modifiers]],3,FALSE))*Table1317[[#This Row],[Levels]]</f>
        <v>152</v>
      </c>
      <c r="H36" t="s">
        <v>171</v>
      </c>
      <c r="I36" t="s">
        <v>318</v>
      </c>
      <c r="J36" t="s">
        <v>313</v>
      </c>
      <c r="K36" t="s">
        <v>312</v>
      </c>
      <c r="L36" t="s">
        <v>314</v>
      </c>
      <c r="M36" t="s">
        <v>320</v>
      </c>
      <c r="N36" t="s">
        <v>317</v>
      </c>
      <c r="O36" t="s">
        <v>319</v>
      </c>
    </row>
    <row r="37" spans="1:15" x14ac:dyDescent="0.35">
      <c r="H37" t="s">
        <v>315</v>
      </c>
      <c r="I37">
        <f>$C$2+VLOOKUP($F$16,Proficiency[],2,FALSE)</f>
        <v>13</v>
      </c>
      <c r="J37">
        <v>2</v>
      </c>
      <c r="K37">
        <v>4</v>
      </c>
      <c r="L37">
        <f t="shared" ref="L37:L38" si="0">$C$2</f>
        <v>5</v>
      </c>
      <c r="M37">
        <f>Table49[[#This Row],['# of Dice]]*(Table49[[#This Row],[Damage Dice]]/2)+Table49[[#This Row],[Bonus Damage]]</f>
        <v>9</v>
      </c>
      <c r="O37">
        <v>15</v>
      </c>
    </row>
    <row r="38" spans="1:15" x14ac:dyDescent="0.35">
      <c r="A38" s="13" t="s">
        <v>167</v>
      </c>
      <c r="H38" t="s">
        <v>316</v>
      </c>
      <c r="I38">
        <f>$C$2+VLOOKUP($F$16,Proficiency[],2,FALSE)</f>
        <v>13</v>
      </c>
      <c r="J38">
        <v>2</v>
      </c>
      <c r="K38">
        <v>8</v>
      </c>
      <c r="L38">
        <f t="shared" si="0"/>
        <v>5</v>
      </c>
      <c r="M38">
        <f>Table49[[#This Row],['# of Dice]]*(Table49[[#This Row],[Damage Dice]]/2)+Table49[[#This Row],[Bonus Damage]]</f>
        <v>13</v>
      </c>
      <c r="O38">
        <v>5</v>
      </c>
    </row>
    <row r="39" spans="1:15" x14ac:dyDescent="0.35">
      <c r="A39" s="1" t="s">
        <v>50</v>
      </c>
      <c r="B39" s="1" t="s">
        <v>171</v>
      </c>
      <c r="H39" s="9" t="s">
        <v>324</v>
      </c>
      <c r="I39">
        <f>VLOOKUP(VLOOKUP(Table49[[#This Row],[Name]],Weapons[],4,FALSE),Table515[[Ability]:[Modifiers]],3,FALSE)+VLOOKUP($F$16,Proficiency[],2,FALSE)</f>
        <v>13</v>
      </c>
      <c r="J39">
        <f>VLOOKUP(Table49[[#This Row],[Name]],Weapons[],2,FALSE)</f>
        <v>1</v>
      </c>
      <c r="K39">
        <f>VLOOKUP(Table49[[#This Row],[Name]],Weapons[],3,FALSE)</f>
        <v>12</v>
      </c>
      <c r="L39">
        <f>VLOOKUP(VLOOKUP(Table49[[#This Row],[Name]],Weapons[],4,FALSE),Table515[],3,FALSE)</f>
        <v>5</v>
      </c>
      <c r="M39">
        <f>Table49[[#This Row],['# of Dice]]*((Table49[[#This Row],[Damage Dice]]/2)+0.5)+Table49[[#This Row],[Bonus Damage]]</f>
        <v>11.5</v>
      </c>
    </row>
    <row r="40" spans="1:15" x14ac:dyDescent="0.35">
      <c r="A40">
        <v>1</v>
      </c>
      <c r="B40" t="s">
        <v>47</v>
      </c>
    </row>
    <row r="41" spans="1:15" x14ac:dyDescent="0.35">
      <c r="A41">
        <v>1</v>
      </c>
      <c r="B41" t="s">
        <v>170</v>
      </c>
    </row>
    <row r="42" spans="1:15" x14ac:dyDescent="0.35">
      <c r="A42">
        <v>2</v>
      </c>
      <c r="B42" t="s">
        <v>168</v>
      </c>
      <c r="H42" t="s">
        <v>416</v>
      </c>
      <c r="I42" s="9" t="s">
        <v>399</v>
      </c>
      <c r="K42" t="s">
        <v>115</v>
      </c>
      <c r="L42" s="10">
        <f>VLOOKUP($I$42,Enemies[[Creature ]:[AC]],3,FALSE)</f>
        <v>10</v>
      </c>
    </row>
    <row r="43" spans="1:15" x14ac:dyDescent="0.35">
      <c r="A43">
        <v>2</v>
      </c>
      <c r="B43" t="s">
        <v>169</v>
      </c>
      <c r="H43" t="s">
        <v>149</v>
      </c>
      <c r="I43" t="s">
        <v>417</v>
      </c>
      <c r="J43" t="s">
        <v>419</v>
      </c>
      <c r="K43" t="s">
        <v>418</v>
      </c>
      <c r="L43" t="s">
        <v>420</v>
      </c>
      <c r="M43" t="s">
        <v>422</v>
      </c>
      <c r="N43" t="s">
        <v>421</v>
      </c>
    </row>
    <row r="44" spans="1:15" x14ac:dyDescent="0.35">
      <c r="H44" t="str">
        <f t="shared" ref="H44:H46" si="1">H37</f>
        <v>Hoof</v>
      </c>
      <c r="I44" s="23">
        <f>VLOOKUP($L$42-VLOOKUP($F$16,Proficiency[],2,FALSE),'Rules of the Game'!$G$88:$T$108,3,FALSE)</f>
        <v>0.95000000000000029</v>
      </c>
      <c r="J44" s="22">
        <f>(VLOOKUP(Table62[[#This Row],[Attack]],Table49[],6,FALSE)*Table62[[#This Row],[% to Hit]])+(0.05*2*VLOOKUP(Table62[[#This Row],[Attack]],Table49[],6,FALSE))</f>
        <v>9.4500000000000028</v>
      </c>
      <c r="K44" s="23">
        <f>VLOOKUP($L$42-VLOOKUP($F$16,Proficiency[],2,FALSE),'Rules of the Game'!$G$88:$T$107,5,FALSE)</f>
        <v>7.4999999999999997E-3</v>
      </c>
      <c r="L44" s="22">
        <f>(VLOOKUP(Table62[[#This Row],[Attack]],Table49[],6,FALSE)*Table62[[#This Row],[% ADV]])+(0.1*2*VLOOKUP(Table62[[#This Row],[Attack]],Table49[],6,FALSE))</f>
        <v>1.8675000000000002</v>
      </c>
      <c r="M44" s="23">
        <f>VLOOKUP($L$42-VLOOKUP($F$16,Proficiency[],2,FALSE),'Rules of the Game'!$G$88:$T$107,7,FALSE)</f>
        <v>0.01</v>
      </c>
      <c r="N44" s="11">
        <f>(VLOOKUP(Table62[[#This Row],[Attack]],Table49[],6,FALSE)*Table62[[#This Row],[% DIS]])+(0.0025*2*VLOOKUP(Table62[[#This Row],[Attack]],Table49[],6,FALSE))</f>
        <v>0.13500000000000001</v>
      </c>
    </row>
    <row r="45" spans="1:15" x14ac:dyDescent="0.35">
      <c r="A45" s="13" t="s">
        <v>172</v>
      </c>
      <c r="H45" t="str">
        <f t="shared" si="1"/>
        <v>Horn</v>
      </c>
      <c r="I45" s="23">
        <f>VLOOKUP($L$42-VLOOKUP($F$16,Proficiency[],2,FALSE),'Rules of the Game'!$G$88:$T$108,3,FALSE)</f>
        <v>0.95000000000000029</v>
      </c>
      <c r="J45" s="22">
        <f>(VLOOKUP(Table62[[#This Row],[Attack]],Table49[],6,FALSE)*Table62[[#This Row],[% to Hit]])+(0.05*2*VLOOKUP(Table62[[#This Row],[Attack]],Table49[],6,FALSE))</f>
        <v>13.650000000000004</v>
      </c>
      <c r="K45" s="23">
        <f>VLOOKUP($L$42-VLOOKUP($F$16,Proficiency[],2,FALSE),'Rules of the Game'!$G$88:$T$107,5,FALSE)</f>
        <v>7.4999999999999997E-3</v>
      </c>
      <c r="L45" s="22">
        <f>(VLOOKUP(Table62[[#This Row],[Attack]],Table49[],6,FALSE)*Table62[[#This Row],[% ADV]])+(0.1*2*VLOOKUP(Table62[[#This Row],[Attack]],Table49[],6,FALSE))</f>
        <v>2.6975000000000002</v>
      </c>
      <c r="M45" s="23">
        <f>VLOOKUP($L$42-VLOOKUP($F$16,Proficiency[],2,FALSE),'Rules of the Game'!$G$88:$T$107,7,FALSE)</f>
        <v>0.01</v>
      </c>
      <c r="N45" s="11">
        <f>(VLOOKUP(Table62[[#This Row],[Attack]],Table49[],6,FALSE)*Table62[[#This Row],[% DIS]])+(0.0025*2*VLOOKUP(Table62[[#This Row],[Attack]],Table49[],6,FALSE))</f>
        <v>0.19500000000000001</v>
      </c>
    </row>
    <row r="46" spans="1:15" x14ac:dyDescent="0.35">
      <c r="A46" s="1" t="s">
        <v>50</v>
      </c>
      <c r="B46" s="1" t="s">
        <v>171</v>
      </c>
      <c r="H46" t="str">
        <f t="shared" si="1"/>
        <v>Greataxe</v>
      </c>
      <c r="I46" s="23">
        <f>VLOOKUP($L$42-VLOOKUP($F$16,Proficiency[],2,FALSE),'Rules of the Game'!$G$88:$T$108,3,FALSE)</f>
        <v>0.95000000000000029</v>
      </c>
      <c r="J46" s="22">
        <f>(VLOOKUP(Table62[[#This Row],[Attack]],Table49[],6,FALSE)*Table62[[#This Row],[% to Hit]])+(0.05*2*VLOOKUP(Table62[[#This Row],[Attack]],Table49[],6,FALSE))</f>
        <v>12.075000000000003</v>
      </c>
      <c r="K46" s="23">
        <f>VLOOKUP($L$42-VLOOKUP($F$16,Proficiency[],2,FALSE),'Rules of the Game'!$G$88:$T$107,5,FALSE)</f>
        <v>7.4999999999999997E-3</v>
      </c>
      <c r="L46" s="22">
        <f>(VLOOKUP(Table62[[#This Row],[Attack]],Table49[],6,FALSE)*Table62[[#This Row],[% ADV]])+(0.1*2*VLOOKUP(Table62[[#This Row],[Attack]],Table49[],6,FALSE))</f>
        <v>2.3862500000000004</v>
      </c>
      <c r="M46" s="23">
        <f>VLOOKUP($L$42-VLOOKUP($F$16,Proficiency[],2,FALSE),'Rules of the Game'!$G$88:$T$108,7,FALSE)</f>
        <v>0.01</v>
      </c>
      <c r="N46" s="11">
        <f>(VLOOKUP(Table62[[#This Row],[Attack]],Table49[],6,FALSE)*Table62[[#This Row],[% DIS]])+(0.0025*2*VLOOKUP(Table62[[#This Row],[Attack]],Table49[],6,FALSE))</f>
        <v>0.17250000000000001</v>
      </c>
    </row>
    <row r="47" spans="1:15" x14ac:dyDescent="0.35">
      <c r="A47">
        <v>1</v>
      </c>
      <c r="B47" t="s">
        <v>173</v>
      </c>
    </row>
    <row r="48" spans="1:15" x14ac:dyDescent="0.35">
      <c r="A48">
        <v>1</v>
      </c>
      <c r="B48" t="s">
        <v>49</v>
      </c>
      <c r="H48" t="s">
        <v>628</v>
      </c>
    </row>
    <row r="49" spans="1:11" x14ac:dyDescent="0.35">
      <c r="A49">
        <v>1</v>
      </c>
      <c r="B49" t="s">
        <v>174</v>
      </c>
      <c r="H49" s="1" t="s">
        <v>631</v>
      </c>
      <c r="I49" s="1" t="s">
        <v>498</v>
      </c>
      <c r="J49" s="1" t="s">
        <v>629</v>
      </c>
      <c r="K49" s="1" t="s">
        <v>634</v>
      </c>
    </row>
    <row r="50" spans="1:11" x14ac:dyDescent="0.35">
      <c r="A50">
        <v>1</v>
      </c>
      <c r="B50" t="s">
        <v>175</v>
      </c>
      <c r="H50" s="9" t="s">
        <v>87</v>
      </c>
      <c r="I50" t="s">
        <v>630</v>
      </c>
      <c r="J50">
        <v>2</v>
      </c>
      <c r="K50" t="str">
        <f>IF(Table55[[#This Row],[Active]]="Yes",Table55[[#This Row],[AC Bonus]],"")</f>
        <v/>
      </c>
    </row>
    <row r="51" spans="1:11" x14ac:dyDescent="0.35">
      <c r="A51">
        <v>1</v>
      </c>
      <c r="B51" t="s">
        <v>47</v>
      </c>
      <c r="H51" s="9" t="s">
        <v>87</v>
      </c>
      <c r="I51" t="s">
        <v>632</v>
      </c>
      <c r="J51">
        <v>2</v>
      </c>
      <c r="K51" t="str">
        <f>IF(Table55[[#This Row],[Active]]="Yes",Table55[[#This Row],[AC Bonus]],"")</f>
        <v/>
      </c>
    </row>
    <row r="52" spans="1:11" x14ac:dyDescent="0.35">
      <c r="A52">
        <v>1</v>
      </c>
      <c r="B52" t="s">
        <v>176</v>
      </c>
      <c r="H52" s="9" t="s">
        <v>87</v>
      </c>
      <c r="I52" t="s">
        <v>633</v>
      </c>
      <c r="J52">
        <v>1</v>
      </c>
      <c r="K52" t="str">
        <f>IF(Table55[[#This Row],[Active]]="Yes",Table55[[#This Row],[AC Bonus]],"")</f>
        <v/>
      </c>
    </row>
    <row r="53" spans="1:11" x14ac:dyDescent="0.35">
      <c r="H53" s="9" t="s">
        <v>87</v>
      </c>
      <c r="I53" t="s">
        <v>44</v>
      </c>
      <c r="J53">
        <v>2</v>
      </c>
      <c r="K53" t="str">
        <f>IF(Table55[[#This Row],[Active]]="Yes",Table55[[#This Row],[AC Bonus]],"")</f>
        <v/>
      </c>
    </row>
    <row r="54" spans="1:11" x14ac:dyDescent="0.35">
      <c r="A54" s="13" t="s">
        <v>216</v>
      </c>
      <c r="H54" s="54" t="s">
        <v>87</v>
      </c>
      <c r="I54" s="38" t="s">
        <v>160</v>
      </c>
      <c r="J54" s="38">
        <v>5</v>
      </c>
      <c r="K54" s="55" t="str">
        <f>IF(Table55[[#This Row],[Active]]="Yes",Table55[[#This Row],[AC Bonus]],"")</f>
        <v/>
      </c>
    </row>
    <row r="55" spans="1:11" x14ac:dyDescent="0.35">
      <c r="A55" s="1" t="s">
        <v>50</v>
      </c>
      <c r="B55" s="1" t="s">
        <v>171</v>
      </c>
      <c r="H55" s="54"/>
      <c r="I55" s="38" t="s">
        <v>658</v>
      </c>
      <c r="J55" s="38">
        <v>2</v>
      </c>
      <c r="K55" s="55" t="str">
        <f>IF(Table55[[#This Row],[Active]]="Yes",Table55[[#This Row],[AC Bonus]],"")</f>
        <v/>
      </c>
    </row>
    <row r="56" spans="1:11" x14ac:dyDescent="0.35">
      <c r="A56">
        <v>3</v>
      </c>
      <c r="B56" t="s">
        <v>217</v>
      </c>
      <c r="H56" s="54"/>
      <c r="I56" s="38" t="s">
        <v>659</v>
      </c>
      <c r="J56" s="38">
        <v>5</v>
      </c>
      <c r="K56" s="55" t="str">
        <f>IF(Table55[[#This Row],[Active]]="Yes",Table55[[#This Row],[AC Bonus]],"")</f>
        <v/>
      </c>
    </row>
    <row r="57" spans="1:11" x14ac:dyDescent="0.35">
      <c r="A57">
        <v>6</v>
      </c>
      <c r="B57" t="s">
        <v>218</v>
      </c>
    </row>
    <row r="58" spans="1:11" x14ac:dyDescent="0.35">
      <c r="A58">
        <v>6</v>
      </c>
      <c r="B58" t="s">
        <v>219</v>
      </c>
    </row>
    <row r="60" spans="1:11" x14ac:dyDescent="0.35">
      <c r="A60" s="13" t="s">
        <v>220</v>
      </c>
    </row>
    <row r="61" spans="1:11" x14ac:dyDescent="0.35">
      <c r="A61" s="1" t="s">
        <v>50</v>
      </c>
      <c r="B61" s="1" t="s">
        <v>171</v>
      </c>
    </row>
  </sheetData>
  <pageMargins left="0.7" right="0.7" top="0.75" bottom="0.75" header="0.3" footer="0.3"/>
  <ignoredErrors>
    <ignoredError sqref="M37:M39 I39:L39" calculatedColumn="1"/>
  </ignoredErrors>
  <tableParts count="6">
    <tablePart r:id="rId1"/>
    <tablePart r:id="rId2"/>
    <tablePart r:id="rId3"/>
    <tablePart r:id="rId4"/>
    <tablePart r:id="rId5"/>
    <tablePart r:id="rId6"/>
  </tableParts>
  <extLst>
    <ext xmlns:x14="http://schemas.microsoft.com/office/spreadsheetml/2009/9/main" uri="{CCE6A557-97BC-4b89-ADB6-D9C93CAAB3DF}">
      <x14:dataValidations xmlns:xm="http://schemas.microsoft.com/office/excel/2006/main" count="5">
        <x14:dataValidation type="list" allowBlank="1" showInputMessage="1" showErrorMessage="1" xr:uid="{F761D7D9-48F0-4206-8540-A95C6D60BEBB}">
          <x14:formula1>
            <xm:f>'Rules of the Game'!$D$4:$D$6</xm:f>
          </x14:formula1>
          <xm:sqref>B11:B28</xm:sqref>
        </x14:dataValidation>
        <x14:dataValidation type="list" allowBlank="1" showInputMessage="1" showErrorMessage="1" xr:uid="{C3A8C197-CEFD-430A-B7C9-19D4819722EA}">
          <x14:formula1>
            <xm:f>'Rules of the Game'!$D$1:$D$2</xm:f>
          </x14:formula1>
          <xm:sqref>D2:D7 F10 H50:H56</xm:sqref>
        </x14:dataValidation>
        <x14:dataValidation type="list" allowBlank="1" showInputMessage="1" showErrorMessage="1" xr:uid="{C8E19FCB-834F-44FF-96D7-723CB332BEF2}">
          <x14:formula1>
            <xm:f>'Rules of the Game'!$D$42:$D$53</xm:f>
          </x14:formula1>
          <xm:sqref>F11</xm:sqref>
        </x14:dataValidation>
        <x14:dataValidation type="list" allowBlank="1" showInputMessage="1" showErrorMessage="1" xr:uid="{FC2B54F7-A909-4CA4-A214-345BA6C485E2}">
          <x14:formula1>
            <xm:f>'Rules of the Game'!$V$3:$V$15</xm:f>
          </x14:formula1>
          <xm:sqref>I42</xm:sqref>
        </x14:dataValidation>
        <x14:dataValidation type="list" allowBlank="1" showInputMessage="1" showErrorMessage="1" xr:uid="{B05F64AA-FD3C-46FF-91B7-FC5DE1FA043B}">
          <x14:formula1>
            <xm:f>'Rules of the Game'!$H$74:$H$85</xm:f>
          </x14:formula1>
          <xm:sqref>H39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0C2A7-D66F-4C9A-AAB8-FB5C8DE6E9DF}">
  <sheetPr codeName="Sheet5"/>
  <dimension ref="A1:W64"/>
  <sheetViews>
    <sheetView topLeftCell="C23" zoomScale="98" zoomScaleNormal="100" workbookViewId="0">
      <selection activeCell="I38" sqref="I38"/>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17.81640625" bestFit="1" customWidth="1"/>
    <col min="8" max="8" width="23.7265625" bestFit="1" customWidth="1"/>
    <col min="9" max="9" width="25.453125" customWidth="1"/>
    <col min="10" max="10" width="13.7265625" bestFit="1" customWidth="1"/>
    <col min="11" max="11" width="13.81640625" bestFit="1" customWidth="1"/>
    <col min="12" max="12" width="15.54296875" bestFit="1" customWidth="1"/>
    <col min="13" max="14" width="17.1796875" bestFit="1" customWidth="1"/>
    <col min="15" max="15" width="26.54296875" customWidth="1"/>
    <col min="16" max="16" width="15.26953125" customWidth="1"/>
    <col min="17" max="17" width="14.1796875" bestFit="1" customWidth="1"/>
    <col min="18" max="18" width="20.1796875" bestFit="1" customWidth="1"/>
    <col min="19" max="19" width="21" bestFit="1" customWidth="1"/>
    <col min="20" max="20" width="19.26953125" bestFit="1" customWidth="1"/>
    <col min="21" max="21" width="17.453125" bestFit="1" customWidth="1"/>
    <col min="23" max="23" width="11.81640625"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10</v>
      </c>
      <c r="C2">
        <f>VLOOKUP(Table51518[[#This Row],[Score]],Modifier[],2,FALSE)</f>
        <v>0</v>
      </c>
      <c r="D2" t="s">
        <v>87</v>
      </c>
      <c r="E2">
        <f>IF(Table51518[[#This Row],[Proficiency?]]="No",Table51518[[#This Row],[Modifiers]],VLOOKUP($F$16,Proficiency[],2,FALSE)+Table51518[[#This Row],[Modifiers]])</f>
        <v>0</v>
      </c>
      <c r="H2" t="s">
        <v>136</v>
      </c>
      <c r="I2" t="s">
        <v>177</v>
      </c>
      <c r="O2" t="s">
        <v>151</v>
      </c>
      <c r="P2" t="s">
        <v>182</v>
      </c>
    </row>
    <row r="3" spans="1:16" x14ac:dyDescent="0.35">
      <c r="A3" t="s">
        <v>1</v>
      </c>
      <c r="B3">
        <v>14</v>
      </c>
      <c r="C3">
        <f>VLOOKUP(Table51518[[#This Row],[Score]],Modifier[],2,FALSE)</f>
        <v>2</v>
      </c>
      <c r="D3" t="s">
        <v>87</v>
      </c>
      <c r="E3">
        <f>IF(Table51518[[#This Row],[Proficiency?]]="No",Table51518[[#This Row],[Modifiers]],VLOOKUP($F$16,Proficiency[],2,FALSE)+Table51518[[#This Row],[Modifiers]])</f>
        <v>2</v>
      </c>
      <c r="H3" t="s">
        <v>137</v>
      </c>
      <c r="I3" t="s">
        <v>184</v>
      </c>
      <c r="O3" t="s">
        <v>152</v>
      </c>
    </row>
    <row r="4" spans="1:16" x14ac:dyDescent="0.35">
      <c r="A4" t="s">
        <v>2</v>
      </c>
      <c r="B4">
        <v>12</v>
      </c>
      <c r="C4">
        <f>VLOOKUP(Table51518[[#This Row],[Score]],Modifier[],2,FALSE)</f>
        <v>1</v>
      </c>
      <c r="D4" t="s">
        <v>86</v>
      </c>
      <c r="E4">
        <f>IF(Table51518[[#This Row],[Proficiency?]]="No",Table51518[[#This Row],[Modifiers]],VLOOKUP($F$16,Proficiency[],2,FALSE)+Table51518[[#This Row],[Modifiers]])</f>
        <v>9</v>
      </c>
      <c r="H4" t="s">
        <v>138</v>
      </c>
      <c r="I4" t="s">
        <v>185</v>
      </c>
      <c r="O4" t="s">
        <v>153</v>
      </c>
    </row>
    <row r="5" spans="1:16" x14ac:dyDescent="0.35">
      <c r="A5" t="s">
        <v>3</v>
      </c>
      <c r="B5">
        <v>20</v>
      </c>
      <c r="C5">
        <f>VLOOKUP(Table51518[[#This Row],[Score]],Modifier[],2,FALSE)</f>
        <v>5</v>
      </c>
      <c r="D5" t="s">
        <v>86</v>
      </c>
      <c r="E5">
        <f>IF(Table51518[[#This Row],[Proficiency?]]="No",Table51518[[#This Row],[Modifiers]],VLOOKUP($F$16,Proficiency[],2,FALSE)+Table51518[[#This Row],[Modifiers]])</f>
        <v>13</v>
      </c>
      <c r="H5" t="s">
        <v>186</v>
      </c>
      <c r="O5" t="s">
        <v>154</v>
      </c>
    </row>
    <row r="6" spans="1:16" x14ac:dyDescent="0.35">
      <c r="A6" t="s">
        <v>4</v>
      </c>
      <c r="B6">
        <v>11</v>
      </c>
      <c r="C6">
        <f>VLOOKUP(Table51518[[#This Row],[Score]],Modifier[],2,FALSE)</f>
        <v>0</v>
      </c>
      <c r="D6" t="s">
        <v>86</v>
      </c>
      <c r="E6">
        <f>IF(Table51518[[#This Row],[Proficiency?]]="No",Table51518[[#This Row],[Modifiers]],VLOOKUP($F$16,Proficiency[],2,FALSE)+Table51518[[#This Row],[Modifiers]])</f>
        <v>8</v>
      </c>
      <c r="H6" t="s">
        <v>139</v>
      </c>
      <c r="I6" t="s">
        <v>187</v>
      </c>
      <c r="O6" t="s">
        <v>155</v>
      </c>
    </row>
    <row r="7" spans="1:16" x14ac:dyDescent="0.35">
      <c r="A7" t="s">
        <v>5</v>
      </c>
      <c r="B7">
        <v>14</v>
      </c>
      <c r="C7">
        <f>VLOOKUP(Table51518[[#This Row],[Score]],Modifier[],2,FALSE)</f>
        <v>2</v>
      </c>
      <c r="D7" t="s">
        <v>87</v>
      </c>
      <c r="E7">
        <f>IF(Table51518[[#This Row],[Proficiency?]]="No",Table51518[[#This Row],[Modifiers]],VLOOKUP($F$16,Proficiency[],2,FALSE)+Table51518[[#This Row],[Modifiers]])</f>
        <v>2</v>
      </c>
      <c r="H7" t="s">
        <v>140</v>
      </c>
      <c r="I7" t="s">
        <v>188</v>
      </c>
      <c r="O7" t="s">
        <v>154</v>
      </c>
    </row>
    <row r="8" spans="1:16" x14ac:dyDescent="0.35">
      <c r="H8" t="s">
        <v>141</v>
      </c>
      <c r="I8" t="s">
        <v>189</v>
      </c>
      <c r="O8" t="s">
        <v>156</v>
      </c>
    </row>
    <row r="10" spans="1:16" x14ac:dyDescent="0.35">
      <c r="A10" t="s">
        <v>90</v>
      </c>
      <c r="B10" t="s">
        <v>91</v>
      </c>
      <c r="C10" t="s">
        <v>13</v>
      </c>
      <c r="E10" t="s">
        <v>116</v>
      </c>
      <c r="F10" s="9" t="s">
        <v>86</v>
      </c>
      <c r="H10" s="1" t="s">
        <v>142</v>
      </c>
      <c r="I10" s="1" t="s">
        <v>135</v>
      </c>
      <c r="O10" s="1" t="s">
        <v>157</v>
      </c>
      <c r="P10" s="1" t="s">
        <v>135</v>
      </c>
    </row>
    <row r="11" spans="1:16" x14ac:dyDescent="0.35">
      <c r="A11" t="s">
        <v>94</v>
      </c>
      <c r="B11" t="s">
        <v>84</v>
      </c>
      <c r="C11">
        <f>VLOOKUP(VLOOKUP(Table91619[[#This Row],[Skills]],Table10[],2,FALSE),Table5[[Ability]:[Modifiers]],3,FALSE)+VLOOKUP(Table91619[[#This Row],[Proficiency Level]],Table11[],3,FALSE)</f>
        <v>14</v>
      </c>
      <c r="E11" t="s">
        <v>117</v>
      </c>
      <c r="F11" s="9" t="s">
        <v>48</v>
      </c>
      <c r="H11" t="s">
        <v>143</v>
      </c>
      <c r="I11" t="s">
        <v>183</v>
      </c>
      <c r="O11" t="s">
        <v>158</v>
      </c>
    </row>
    <row r="12" spans="1:16" x14ac:dyDescent="0.35">
      <c r="A12" t="s">
        <v>95</v>
      </c>
      <c r="B12" t="s">
        <v>92</v>
      </c>
      <c r="C12">
        <f>VLOOKUP(VLOOKUP(Table91619[[#This Row],[Skills]],Table10[],2,FALSE),Table5[[Ability]:[Modifiers]],3,FALSE)+VLOOKUP(Table91619[[#This Row],[Proficiency Level]],Table11[],3,FALSE)</f>
        <v>0</v>
      </c>
      <c r="E12" t="s">
        <v>122</v>
      </c>
      <c r="F12" s="10">
        <f>IF(ISNUMBER(VLOOKUP(Archdruid!F11,Table12[],3,FALSE))=FALSE,IF(VLOOKUP(Archdruid!F11,Table12[],3,FALSE)="Yes",Archdruid!$C$3,0),VLOOKUP(Archdruid!F11,Table12[],3,FALSE))</f>
        <v>2</v>
      </c>
      <c r="H12" t="s">
        <v>144</v>
      </c>
      <c r="I12" t="s">
        <v>190</v>
      </c>
      <c r="O12" t="s">
        <v>159</v>
      </c>
    </row>
    <row r="13" spans="1:16" x14ac:dyDescent="0.35">
      <c r="A13" t="s">
        <v>96</v>
      </c>
      <c r="B13" t="s">
        <v>84</v>
      </c>
      <c r="C13">
        <f>VLOOKUP(VLOOKUP(Table91619[[#This Row],[Skills]],Table10[],2,FALSE),Table5[[Ability]:[Modifiers]],3,FALSE)+VLOOKUP(Table91619[[#This Row],[Proficiency Level]],Table11[],3,FALSE)</f>
        <v>14</v>
      </c>
      <c r="E13" t="s">
        <v>123</v>
      </c>
      <c r="F13" s="9">
        <v>1</v>
      </c>
      <c r="H13" t="s">
        <v>145</v>
      </c>
      <c r="I13" t="s">
        <v>191</v>
      </c>
      <c r="O13" t="s">
        <v>160</v>
      </c>
    </row>
    <row r="14" spans="1:16" x14ac:dyDescent="0.35">
      <c r="A14" t="s">
        <v>97</v>
      </c>
      <c r="B14" t="s">
        <v>92</v>
      </c>
      <c r="C14">
        <f>VLOOKUP(VLOOKUP(Table91619[[#This Row],[Skills]],Table10[],2,FALSE),Table5[[Ability]:[Modifiers]],3,FALSE)+VLOOKUP(Table91619[[#This Row],[Proficiency Level]],Table11[],3,FALSE)</f>
        <v>0</v>
      </c>
      <c r="H14" t="s">
        <v>146</v>
      </c>
      <c r="I14" t="s">
        <v>192</v>
      </c>
      <c r="O14" t="s">
        <v>161</v>
      </c>
    </row>
    <row r="15" spans="1:16" x14ac:dyDescent="0.35">
      <c r="A15" t="s">
        <v>98</v>
      </c>
      <c r="B15" t="s">
        <v>84</v>
      </c>
      <c r="C15">
        <f>VLOOKUP(VLOOKUP(Table91619[[#This Row],[Skills]],Table10[],2,FALSE),Table5[[Ability]:[Modifiers]],3,FALSE)+VLOOKUP(Table91619[[#This Row],[Proficiency Level]],Table11[],3,FALSE)</f>
        <v>11</v>
      </c>
      <c r="H15" t="s">
        <v>147</v>
      </c>
      <c r="O15" t="s">
        <v>162</v>
      </c>
    </row>
    <row r="16" spans="1:16" x14ac:dyDescent="0.35">
      <c r="A16" t="s">
        <v>99</v>
      </c>
      <c r="B16" t="s">
        <v>92</v>
      </c>
      <c r="C16">
        <f>VLOOKUP(VLOOKUP(Table91619[[#This Row],[Skills]],Table10[],2,FALSE),Table5[[Ability]:[Modifiers]],3,FALSE)+VLOOKUP(Table91619[[#This Row],[Proficiency Level]],Table11[],3,FALSE)</f>
        <v>5</v>
      </c>
      <c r="E16" s="1" t="s">
        <v>88</v>
      </c>
      <c r="F16" s="9">
        <v>30</v>
      </c>
      <c r="H16" t="s">
        <v>148</v>
      </c>
      <c r="O16" t="s">
        <v>163</v>
      </c>
    </row>
    <row r="17" spans="1:16" x14ac:dyDescent="0.35">
      <c r="A17" t="s">
        <v>100</v>
      </c>
      <c r="B17" t="s">
        <v>84</v>
      </c>
      <c r="C17">
        <f>VLOOKUP(VLOOKUP(Table91619[[#This Row],[Skills]],Table10[],2,FALSE),Table5[[Ability]:[Modifiers]],3,FALSE)+VLOOKUP(Table91619[[#This Row],[Proficiency Level]],Table11[],3,FALSE)</f>
        <v>9</v>
      </c>
      <c r="E17" s="1" t="s">
        <v>115</v>
      </c>
      <c r="F17" s="10">
        <f>IF(Archdruid!F10="Yes",VLOOKUP(F11,Table12[],2,FALSE)+Archdruid!F12+2+F13,VLOOKUP(F11,Table12[],2,FALSE)+Archdruid!F12+F13)+SUM(Table5586[Applied AC Bonus])</f>
        <v>18</v>
      </c>
      <c r="H17" t="s">
        <v>179</v>
      </c>
      <c r="O17" t="s">
        <v>164</v>
      </c>
    </row>
    <row r="18" spans="1:16" x14ac:dyDescent="0.35">
      <c r="A18" t="s">
        <v>101</v>
      </c>
      <c r="B18" t="s">
        <v>92</v>
      </c>
      <c r="C18">
        <f>VLOOKUP(VLOOKUP(Table91619[[#This Row],[Skills]],Table10[],2,FALSE),Table5[[Ability]:[Modifiers]],3,FALSE)+VLOOKUP(Table91619[[#This Row],[Proficiency Level]],Table11[],3,FALSE)</f>
        <v>2</v>
      </c>
      <c r="E18" s="1" t="s">
        <v>132</v>
      </c>
      <c r="F18" s="12">
        <f>SUM(Table131720[[Average ]])</f>
        <v>303.5</v>
      </c>
      <c r="H18" t="s">
        <v>180</v>
      </c>
      <c r="O18" t="s">
        <v>165</v>
      </c>
      <c r="P18" t="s">
        <v>198</v>
      </c>
    </row>
    <row r="19" spans="1:16" x14ac:dyDescent="0.35">
      <c r="A19" t="s">
        <v>102</v>
      </c>
      <c r="B19" t="s">
        <v>92</v>
      </c>
      <c r="C19">
        <f>VLOOKUP(VLOOKUP(Table91619[[#This Row],[Skills]],Table10[],2,FALSE),Table5[[Ability]:[Modifiers]],3,FALSE)+VLOOKUP(Table91619[[#This Row],[Proficiency Level]],Table11[],3,FALSE)</f>
        <v>5</v>
      </c>
      <c r="E19" s="1" t="s">
        <v>178</v>
      </c>
      <c r="F19" s="10">
        <f>8+VLOOKUP("Intelligence",Table51518[],3,FALSE)+VLOOKUP(F16,Proficiency[],2,FALSE)</f>
        <v>21</v>
      </c>
      <c r="H19" t="s">
        <v>181</v>
      </c>
      <c r="O19" t="s">
        <v>166</v>
      </c>
    </row>
    <row r="20" spans="1:16" x14ac:dyDescent="0.35">
      <c r="A20" t="s">
        <v>103</v>
      </c>
      <c r="B20" t="s">
        <v>84</v>
      </c>
      <c r="C20">
        <f>VLOOKUP(VLOOKUP(Table91619[[#This Row],[Skills]],Table10[],2,FALSE),Table5[[Ability]:[Modifiers]],3,FALSE)+VLOOKUP(Table91619[[#This Row],[Proficiency Level]],Table11[],3,FALSE)</f>
        <v>9</v>
      </c>
      <c r="H20" s="16" t="s">
        <v>222</v>
      </c>
    </row>
    <row r="21" spans="1:16" x14ac:dyDescent="0.35">
      <c r="A21" t="s">
        <v>104</v>
      </c>
      <c r="B21" t="s">
        <v>84</v>
      </c>
      <c r="C21">
        <f>VLOOKUP(VLOOKUP(Table91619[[#This Row],[Skills]],Table10[],2,FALSE),Table5[[Ability]:[Modifiers]],3,FALSE)+VLOOKUP(Table91619[[#This Row],[Proficiency Level]],Table11[],3,FALSE)</f>
        <v>14</v>
      </c>
      <c r="E21" s="14" t="s">
        <v>209</v>
      </c>
      <c r="F21" s="10">
        <f>10+C22</f>
        <v>19</v>
      </c>
    </row>
    <row r="22" spans="1:16" x14ac:dyDescent="0.35">
      <c r="A22" t="s">
        <v>105</v>
      </c>
      <c r="B22" t="s">
        <v>84</v>
      </c>
      <c r="C22">
        <f>VLOOKUP(VLOOKUP(Table91619[[#This Row],[Skills]],Table10[],2,FALSE),Table5[[Ability]:[Modifiers]],3,FALSE)+VLOOKUP(Table91619[[#This Row],[Proficiency Level]],Table11[],3,FALSE)</f>
        <v>9</v>
      </c>
      <c r="H22" s="1" t="s">
        <v>199</v>
      </c>
    </row>
    <row r="23" spans="1:16" x14ac:dyDescent="0.35">
      <c r="A23" t="s">
        <v>106</v>
      </c>
      <c r="B23" t="s">
        <v>92</v>
      </c>
      <c r="C23">
        <f>VLOOKUP(VLOOKUP(Table91619[[#This Row],[Skills]],Table10[],2,FALSE),Table5[[Ability]:[Modifiers]],3,FALSE)+VLOOKUP(Table91619[[#This Row],[Proficiency Level]],Table11[],3,FALSE)</f>
        <v>2</v>
      </c>
      <c r="H23" t="s">
        <v>222</v>
      </c>
      <c r="I23">
        <v>2</v>
      </c>
    </row>
    <row r="24" spans="1:16" x14ac:dyDescent="0.35">
      <c r="A24" t="s">
        <v>107</v>
      </c>
      <c r="B24" t="s">
        <v>92</v>
      </c>
      <c r="C24">
        <f>VLOOKUP(VLOOKUP(Table91619[[#This Row],[Skills]],Table10[],2,FALSE),Table5[[Ability]:[Modifiers]],3,FALSE)+VLOOKUP(Table91619[[#This Row],[Proficiency Level]],Table11[],3,FALSE)</f>
        <v>2</v>
      </c>
      <c r="H24" t="s">
        <v>223</v>
      </c>
    </row>
    <row r="25" spans="1:16" x14ac:dyDescent="0.35">
      <c r="A25" t="s">
        <v>108</v>
      </c>
      <c r="B25" t="s">
        <v>92</v>
      </c>
      <c r="C25">
        <f>VLOOKUP(VLOOKUP(Table91619[[#This Row],[Skills]],Table10[],2,FALSE),Table5[[Ability]:[Modifiers]],3,FALSE)+VLOOKUP(Table91619[[#This Row],[Proficiency Level]],Table11[],3,FALSE)</f>
        <v>5</v>
      </c>
      <c r="H25" t="s">
        <v>235</v>
      </c>
      <c r="I25" t="s">
        <v>236</v>
      </c>
    </row>
    <row r="26" spans="1:16" x14ac:dyDescent="0.35">
      <c r="A26" t="s">
        <v>109</v>
      </c>
      <c r="B26" t="s">
        <v>92</v>
      </c>
      <c r="C26">
        <f>VLOOKUP(VLOOKUP(Table91619[[#This Row],[Skills]],Table10[],2,FALSE),Table5[[Ability]:[Modifiers]],3,FALSE)+VLOOKUP(Table91619[[#This Row],[Proficiency Level]],Table11[],3,FALSE)</f>
        <v>5</v>
      </c>
    </row>
    <row r="27" spans="1:16" x14ac:dyDescent="0.35">
      <c r="A27" t="s">
        <v>110</v>
      </c>
      <c r="B27" t="s">
        <v>93</v>
      </c>
      <c r="C27">
        <f>VLOOKUP(VLOOKUP(Table91619[[#This Row],[Skills]],Table10[],2,FALSE),Table5[[Ability]:[Modifiers]],3,FALSE)+VLOOKUP(Table91619[[#This Row],[Proficiency Level]],Table11[],3,FALSE)</f>
        <v>23</v>
      </c>
    </row>
    <row r="28" spans="1:16" x14ac:dyDescent="0.35">
      <c r="A28" t="s">
        <v>111</v>
      </c>
      <c r="B28" t="s">
        <v>92</v>
      </c>
      <c r="C28">
        <f>VLOOKUP(VLOOKUP(Table91619[[#This Row],[Skills]],Table10[],2,FALSE),Table5[[Ability]:[Modifiers]],3,FALSE)+VLOOKUP(Table91619[[#This Row],[Proficiency Level]],Table11[],3,FALSE)</f>
        <v>0</v>
      </c>
    </row>
    <row r="31" spans="1:16" x14ac:dyDescent="0.35">
      <c r="A31" t="s">
        <v>124</v>
      </c>
      <c r="B31" t="s">
        <v>125</v>
      </c>
      <c r="C31" t="s">
        <v>130</v>
      </c>
      <c r="D31" t="s">
        <v>133</v>
      </c>
    </row>
    <row r="32" spans="1:16" x14ac:dyDescent="0.35">
      <c r="A32" t="s">
        <v>126</v>
      </c>
      <c r="B32">
        <v>6</v>
      </c>
      <c r="C32">
        <v>20</v>
      </c>
      <c r="D32">
        <f>(((Table131720[[#This Row],[Hit Dice]]/2)+0.5)+2)*Table131720[[#This Row],[Levels]]</f>
        <v>110</v>
      </c>
    </row>
    <row r="33" spans="1:23" x14ac:dyDescent="0.35">
      <c r="A33" t="s">
        <v>127</v>
      </c>
      <c r="B33">
        <v>10</v>
      </c>
      <c r="C33">
        <v>3</v>
      </c>
      <c r="D33">
        <f>(((Table131720[[#This Row],[Hit Dice]]/2)+0.5)+2)*Table131720[[#This Row],[Levels]]</f>
        <v>22.5</v>
      </c>
    </row>
    <row r="34" spans="1:23" x14ac:dyDescent="0.35">
      <c r="A34" t="s">
        <v>128</v>
      </c>
      <c r="B34">
        <v>6</v>
      </c>
      <c r="C34">
        <v>3</v>
      </c>
      <c r="D34">
        <f>(((Table131720[[#This Row],[Hit Dice]]/2)+0.5)+2)*Table131720[[#This Row],[Levels]]</f>
        <v>16.5</v>
      </c>
    </row>
    <row r="35" spans="1:23" x14ac:dyDescent="0.35">
      <c r="A35" t="s">
        <v>129</v>
      </c>
      <c r="B35">
        <v>10</v>
      </c>
      <c r="C35">
        <v>3</v>
      </c>
      <c r="D35">
        <f>(((Table131720[[#This Row],[Hit Dice]]/2)+0.5)+2)*Table131720[[#This Row],[Levels]]</f>
        <v>22.5</v>
      </c>
      <c r="H35" t="s">
        <v>311</v>
      </c>
    </row>
    <row r="36" spans="1:23" x14ac:dyDescent="0.35">
      <c r="A36" t="s">
        <v>54</v>
      </c>
      <c r="B36">
        <v>8</v>
      </c>
      <c r="C36">
        <v>24</v>
      </c>
      <c r="D36" s="2">
        <f>(((Table131720[[#This Row],[Hit Dice]]/2)+0.5)+VLOOKUP("Constitution",Table51518[[Ability]:[Modifiers]],3,FALSE))*Table131720[[#This Row],[Levels]]</f>
        <v>132</v>
      </c>
      <c r="H36" t="s">
        <v>297</v>
      </c>
      <c r="I36" t="s">
        <v>394</v>
      </c>
      <c r="J36" t="s">
        <v>318</v>
      </c>
      <c r="K36" t="s">
        <v>313</v>
      </c>
      <c r="L36" t="s">
        <v>312</v>
      </c>
      <c r="M36" t="s">
        <v>314</v>
      </c>
      <c r="N36" t="s">
        <v>320</v>
      </c>
      <c r="O36" t="s">
        <v>317</v>
      </c>
      <c r="P36" t="s">
        <v>319</v>
      </c>
    </row>
    <row r="37" spans="1:23" x14ac:dyDescent="0.35">
      <c r="H37" t="s">
        <v>327</v>
      </c>
      <c r="J37">
        <f>$C$3+VLOOKUP($F$16,Proficiency[],2,FALSE)</f>
        <v>10</v>
      </c>
      <c r="K37">
        <v>2</v>
      </c>
      <c r="L37">
        <v>4</v>
      </c>
      <c r="M37">
        <f t="shared" ref="M37" si="0">$C$2</f>
        <v>0</v>
      </c>
      <c r="N37">
        <f>Table4960[[#This Row],['# of Dice]]*(Table4960[[#This Row],[Damage Dice]]/2)+Table4960[[#This Row],[Bonus Damage]]</f>
        <v>4</v>
      </c>
      <c r="P37">
        <v>15</v>
      </c>
    </row>
    <row r="38" spans="1:23" x14ac:dyDescent="0.35">
      <c r="A38" s="13" t="s">
        <v>167</v>
      </c>
      <c r="H38" t="s">
        <v>370</v>
      </c>
      <c r="I38" t="s">
        <v>530</v>
      </c>
      <c r="J38">
        <f>VLOOKUP(VLOOKUP(Table4960[[#This Row],[Creature]],Table57[[Creature]:[Dexterity]],MATCH(VLOOKUP(Table4960[[#This Row],[Move]],Table60[[Creature + Move]:[Strength or Dexterity]],4,FALSE),Table57[#Headers],0),FALSE),Modifier[],2,FALSE)+VLOOKUP($F$16,Proficiency[],2,FALSE)</f>
        <v>11</v>
      </c>
      <c r="K38">
        <f>VLOOKUP(Table4960[[#This Row],[Move]],Table60[[Creature + Move]:[Damage Dice]],2,FALSE)</f>
        <v>2</v>
      </c>
      <c r="L38">
        <f>VLOOKUP(Table4960[[#This Row],[Move]],Table60[[Creature + Move]:[Damage Dice]],3,FALSE)</f>
        <v>6</v>
      </c>
      <c r="M38">
        <f>VLOOKUP(VLOOKUP(Table4960[[#This Row],[Creature]],Table57[[Creature]:[Dexterity]],MATCH(VLOOKUP(Table4960[[#This Row],[Move]],Table60[[Creature + Move]:[Strength or Dexterity]],4,FALSE),Table57[#Headers],0),FALSE),Modifier[],2,FALSE)</f>
        <v>3</v>
      </c>
      <c r="N38">
        <f>Table4960[[#This Row],['# of Dice]]*(Table4960[[#This Row],[Damage Dice]]/2)+Table4960[[#This Row],[Bonus Damage]]</f>
        <v>9</v>
      </c>
      <c r="P38">
        <f>VLOOKUP(Table4960[[#This Row],[Move]],Table60[[Creature + Move]:[Reach]],7,FALSE)</f>
        <v>0</v>
      </c>
    </row>
    <row r="39" spans="1:23" x14ac:dyDescent="0.35">
      <c r="A39" s="1" t="s">
        <v>50</v>
      </c>
      <c r="B39" s="1" t="s">
        <v>171</v>
      </c>
      <c r="H39" t="s">
        <v>366</v>
      </c>
      <c r="J39">
        <f>VLOOKUP(VLOOKUP(Table4960[[#This Row],[Creature]],Weapons[],4,FALSE),Table515[[Ability]:[Modifiers]],3,FALSE)+VLOOKUP($F$16,Proficiency[],2,FALSE)</f>
        <v>13</v>
      </c>
      <c r="K39">
        <f>VLOOKUP(Table4960[[#This Row],[Creature]],Weapons[],2,FALSE)</f>
        <v>2</v>
      </c>
      <c r="L39">
        <f>VLOOKUP(Table4960[[#This Row],[Creature]],Weapons[],3,FALSE)</f>
        <v>10</v>
      </c>
      <c r="M39">
        <f>VLOOKUP(VLOOKUP(Table4960[[#This Row],[Creature]],Weapons[],4,FALSE),Table515[],3,FALSE)</f>
        <v>5</v>
      </c>
      <c r="N39">
        <f>Table4960[[#This Row],['# of Dice]]*((Table4960[[#This Row],[Damage Dice]]/2)+0.5)+Table4960[[#This Row],[Bonus Damage]]</f>
        <v>16</v>
      </c>
    </row>
    <row r="40" spans="1:23" x14ac:dyDescent="0.35">
      <c r="A40">
        <v>1</v>
      </c>
      <c r="B40" t="s">
        <v>47</v>
      </c>
    </row>
    <row r="41" spans="1:23" x14ac:dyDescent="0.35">
      <c r="A41">
        <v>1</v>
      </c>
      <c r="B41" t="s">
        <v>170</v>
      </c>
    </row>
    <row r="42" spans="1:23" x14ac:dyDescent="0.35">
      <c r="A42">
        <v>2</v>
      </c>
      <c r="B42" t="s">
        <v>168</v>
      </c>
      <c r="H42" s="33" t="s">
        <v>513</v>
      </c>
      <c r="I42" s="33" t="s">
        <v>516</v>
      </c>
      <c r="J42" s="33" t="s">
        <v>81</v>
      </c>
      <c r="K42" s="33" t="s">
        <v>514</v>
      </c>
      <c r="L42" s="33" t="s">
        <v>515</v>
      </c>
      <c r="M42" s="33" t="s">
        <v>178</v>
      </c>
      <c r="N42" s="33" t="s">
        <v>351</v>
      </c>
      <c r="O42" s="33" t="s">
        <v>312</v>
      </c>
      <c r="P42" s="33" t="s">
        <v>314</v>
      </c>
      <c r="Q42" s="33" t="s">
        <v>522</v>
      </c>
      <c r="R42" s="33" t="s">
        <v>523</v>
      </c>
      <c r="S42" s="33" t="s">
        <v>524</v>
      </c>
      <c r="T42" s="33" t="s">
        <v>525</v>
      </c>
      <c r="U42" s="33" t="s">
        <v>320</v>
      </c>
      <c r="V42" s="33" t="s">
        <v>319</v>
      </c>
      <c r="W42" s="41" t="s">
        <v>517</v>
      </c>
    </row>
    <row r="43" spans="1:23" x14ac:dyDescent="0.35">
      <c r="A43">
        <v>2</v>
      </c>
      <c r="B43" t="s">
        <v>169</v>
      </c>
      <c r="H43" t="s">
        <v>527</v>
      </c>
      <c r="I43" t="s">
        <v>519</v>
      </c>
      <c r="J43" t="s">
        <v>0</v>
      </c>
      <c r="K43">
        <v>15</v>
      </c>
      <c r="N43">
        <v>4</v>
      </c>
      <c r="O43">
        <v>8</v>
      </c>
      <c r="P43">
        <v>7</v>
      </c>
      <c r="U43">
        <f>((Table72[[#This Row],[Damage Dice]]/2)*Table72[[#This Row],['# Dice]])+((Table72[[#This Row],[Bonus Damage Dice]]/2)*Table72[[#This Row],[Bonus '# Dice]])+Table72[[#This Row],[Bonus Damage]]</f>
        <v>23</v>
      </c>
      <c r="V43">
        <v>10</v>
      </c>
    </row>
    <row r="44" spans="1:23" x14ac:dyDescent="0.35">
      <c r="H44" t="s">
        <v>528</v>
      </c>
      <c r="I44" t="s">
        <v>519</v>
      </c>
      <c r="J44" t="s">
        <v>0</v>
      </c>
      <c r="K44">
        <v>15</v>
      </c>
      <c r="N44">
        <v>4</v>
      </c>
      <c r="O44">
        <v>10</v>
      </c>
      <c r="P44">
        <v>7</v>
      </c>
      <c r="U44">
        <f>((Table72[[#This Row],[Damage Dice]]/2)*Table72[[#This Row],['# Dice]])+((Table72[[#This Row],[Bonus Damage Dice]]/2)*Table72[[#This Row],[Bonus '# Dice]])+Table72[[#This Row],[Bonus Damage]]</f>
        <v>27</v>
      </c>
      <c r="V44">
        <v>5</v>
      </c>
    </row>
    <row r="45" spans="1:23" x14ac:dyDescent="0.35">
      <c r="A45" s="13" t="s">
        <v>172</v>
      </c>
      <c r="H45" t="s">
        <v>395</v>
      </c>
      <c r="I45" t="s">
        <v>519</v>
      </c>
      <c r="J45" t="s">
        <v>0</v>
      </c>
      <c r="K45">
        <v>15</v>
      </c>
      <c r="N45">
        <v>4</v>
      </c>
      <c r="O45">
        <v>8</v>
      </c>
      <c r="P45">
        <v>7</v>
      </c>
      <c r="S45" t="s">
        <v>0</v>
      </c>
      <c r="T45">
        <f>VLOOKUP($F$16,Proficiency[],2,FALSE)+7+8</f>
        <v>23</v>
      </c>
      <c r="U45">
        <f>((Table72[[#This Row],[Damage Dice]]/2)*Table72[[#This Row],['# Dice]])+((Table72[[#This Row],[Bonus Damage Dice]]/2)*Table72[[#This Row],[Bonus '# Dice]])+Table72[[#This Row],[Bonus Damage]]</f>
        <v>23</v>
      </c>
      <c r="V45">
        <v>10</v>
      </c>
      <c r="W45" t="s">
        <v>381</v>
      </c>
    </row>
    <row r="46" spans="1:23" x14ac:dyDescent="0.35">
      <c r="A46" s="1" t="s">
        <v>50</v>
      </c>
      <c r="B46" s="1" t="s">
        <v>171</v>
      </c>
      <c r="H46" t="s">
        <v>529</v>
      </c>
      <c r="I46" t="s">
        <v>519</v>
      </c>
      <c r="J46" t="s">
        <v>0</v>
      </c>
      <c r="K46">
        <v>12</v>
      </c>
      <c r="N46">
        <v>2</v>
      </c>
      <c r="O46">
        <v>8</v>
      </c>
      <c r="P46">
        <v>4</v>
      </c>
      <c r="Q46">
        <v>2</v>
      </c>
      <c r="R46">
        <v>10</v>
      </c>
      <c r="U46">
        <f>((Table72[[#This Row],[Damage Dice]]/2)*Table72[[#This Row],['# Dice]])+((Table72[[#This Row],[Bonus Damage Dice]]/2)*Table72[[#This Row],[Bonus '# Dice]])+Table72[[#This Row],[Bonus Damage]]</f>
        <v>22</v>
      </c>
      <c r="V46">
        <v>5</v>
      </c>
    </row>
    <row r="47" spans="1:23" x14ac:dyDescent="0.35">
      <c r="A47">
        <v>1</v>
      </c>
      <c r="B47" t="s">
        <v>173</v>
      </c>
      <c r="H47" t="s">
        <v>530</v>
      </c>
      <c r="I47" t="s">
        <v>519</v>
      </c>
      <c r="J47" t="s">
        <v>1</v>
      </c>
      <c r="K47">
        <v>11</v>
      </c>
      <c r="N47">
        <v>2</v>
      </c>
      <c r="O47">
        <v>6</v>
      </c>
      <c r="P47">
        <v>3</v>
      </c>
      <c r="U47">
        <f>((Table72[[#This Row],[Damage Dice]]/2)*Table72[[#This Row],['# Dice]])+((Table72[[#This Row],[Bonus Damage Dice]]/2)*Table72[[#This Row],[Bonus '# Dice]])+Table72[[#This Row],[Bonus Damage]]</f>
        <v>9</v>
      </c>
      <c r="V47">
        <v>5</v>
      </c>
    </row>
    <row r="48" spans="1:23" x14ac:dyDescent="0.35">
      <c r="A48">
        <v>1</v>
      </c>
      <c r="B48" t="s">
        <v>49</v>
      </c>
      <c r="H48" t="s">
        <v>531</v>
      </c>
      <c r="I48" t="s">
        <v>519</v>
      </c>
      <c r="J48" t="s">
        <v>0</v>
      </c>
      <c r="K48">
        <v>13</v>
      </c>
      <c r="N48">
        <v>3</v>
      </c>
      <c r="O48">
        <v>10</v>
      </c>
      <c r="P48">
        <v>5</v>
      </c>
      <c r="U48">
        <f>((Table72[[#This Row],[Damage Dice]]/2)*Table72[[#This Row],['# Dice]])+((Table72[[#This Row],[Bonus Damage Dice]]/2)*Table72[[#This Row],[Bonus '# Dice]])+Table72[[#This Row],[Bonus Damage]]</f>
        <v>20</v>
      </c>
      <c r="V48">
        <v>5</v>
      </c>
    </row>
    <row r="49" spans="1:23" x14ac:dyDescent="0.35">
      <c r="A49">
        <v>1</v>
      </c>
      <c r="B49" t="s">
        <v>174</v>
      </c>
      <c r="H49" t="s">
        <v>532</v>
      </c>
      <c r="I49" t="s">
        <v>519</v>
      </c>
      <c r="J49" t="s">
        <v>0</v>
      </c>
      <c r="K49">
        <v>13</v>
      </c>
      <c r="N49">
        <v>2</v>
      </c>
      <c r="O49">
        <v>8</v>
      </c>
      <c r="P49">
        <v>5</v>
      </c>
      <c r="U49">
        <f>((Table72[[#This Row],[Damage Dice]]/2)*Table72[[#This Row],['# Dice]])+((Table72[[#This Row],[Bonus Damage Dice]]/2)*Table72[[#This Row],[Bonus '# Dice]])+Table72[[#This Row],[Bonus Damage]]</f>
        <v>13</v>
      </c>
      <c r="V49">
        <v>10</v>
      </c>
    </row>
    <row r="50" spans="1:23" x14ac:dyDescent="0.35">
      <c r="A50">
        <v>1</v>
      </c>
      <c r="B50" t="s">
        <v>175</v>
      </c>
      <c r="H50" t="s">
        <v>533</v>
      </c>
      <c r="I50" t="s">
        <v>519</v>
      </c>
      <c r="J50" t="s">
        <v>0</v>
      </c>
      <c r="K50">
        <v>13</v>
      </c>
      <c r="N50">
        <v>5</v>
      </c>
      <c r="O50">
        <v>8</v>
      </c>
      <c r="P50">
        <v>5</v>
      </c>
      <c r="U50">
        <f>((Table72[[#This Row],[Damage Dice]]/2)*Table72[[#This Row],['# Dice]])+((Table72[[#This Row],[Bonus Damage Dice]]/2)*Table72[[#This Row],[Bonus '# Dice]])+Table72[[#This Row],[Bonus Damage]]</f>
        <v>25</v>
      </c>
      <c r="V50">
        <v>20</v>
      </c>
    </row>
    <row r="51" spans="1:23" x14ac:dyDescent="0.35">
      <c r="A51">
        <v>1</v>
      </c>
      <c r="B51" t="s">
        <v>47</v>
      </c>
      <c r="H51" t="s">
        <v>534</v>
      </c>
      <c r="I51" t="s">
        <v>519</v>
      </c>
      <c r="J51" t="s">
        <v>0</v>
      </c>
      <c r="K51">
        <v>13</v>
      </c>
      <c r="N51">
        <v>6</v>
      </c>
      <c r="O51">
        <v>8</v>
      </c>
      <c r="P51">
        <v>5</v>
      </c>
      <c r="U51">
        <f>((Table72[[#This Row],[Damage Dice]]/2)*Table72[[#This Row],['# Dice]])+((Table72[[#This Row],[Bonus Damage Dice]]/2)*Table72[[#This Row],[Bonus '# Dice]])+Table72[[#This Row],[Bonus Damage]]</f>
        <v>29</v>
      </c>
      <c r="V51">
        <v>20</v>
      </c>
    </row>
    <row r="52" spans="1:23" x14ac:dyDescent="0.35">
      <c r="A52">
        <v>1</v>
      </c>
      <c r="B52" t="s">
        <v>176</v>
      </c>
      <c r="H52" t="s">
        <v>535</v>
      </c>
      <c r="I52" t="s">
        <v>519</v>
      </c>
      <c r="J52" t="s">
        <v>0</v>
      </c>
      <c r="K52">
        <v>13</v>
      </c>
      <c r="N52">
        <v>2</v>
      </c>
      <c r="O52">
        <v>8</v>
      </c>
      <c r="P52">
        <v>5</v>
      </c>
      <c r="U52">
        <f>((Table72[[#This Row],[Damage Dice]]/2)*Table72[[#This Row],['# Dice]])+((Table72[[#This Row],[Bonus Damage Dice]]/2)*Table72[[#This Row],[Bonus '# Dice]])+Table72[[#This Row],[Bonus Damage]]</f>
        <v>13</v>
      </c>
      <c r="V52">
        <v>10</v>
      </c>
    </row>
    <row r="53" spans="1:23" x14ac:dyDescent="0.35">
      <c r="H53" t="s">
        <v>536</v>
      </c>
      <c r="I53" t="s">
        <v>519</v>
      </c>
      <c r="J53" t="s">
        <v>1</v>
      </c>
      <c r="K53">
        <v>11</v>
      </c>
      <c r="N53">
        <v>2</v>
      </c>
      <c r="O53">
        <v>4</v>
      </c>
      <c r="P53" s="2">
        <f>VLOOKUP(Table72[[#This Row],[Ability Score]],Table51518[[Ability]:[Modifiers]],3,FALSE)</f>
        <v>2</v>
      </c>
      <c r="S53" t="s">
        <v>2</v>
      </c>
      <c r="T53">
        <f>8+8+2</f>
        <v>18</v>
      </c>
      <c r="U53" s="2">
        <f>((Table72[[#This Row],[Damage Dice]]/2)*Table72[[#This Row],['# Dice]])+((Table72[[#This Row],[Bonus Damage Dice]]/2)*Table72[[#This Row],[Bonus '# Dice]])+Table72[[#This Row],[Bonus Damage]]</f>
        <v>6</v>
      </c>
      <c r="V53">
        <v>5</v>
      </c>
      <c r="W53" t="s">
        <v>537</v>
      </c>
    </row>
    <row r="55" spans="1:23" x14ac:dyDescent="0.35">
      <c r="A55" s="13" t="s">
        <v>221</v>
      </c>
    </row>
    <row r="56" spans="1:23" x14ac:dyDescent="0.35">
      <c r="A56" s="1" t="s">
        <v>50</v>
      </c>
      <c r="B56" s="1" t="s">
        <v>171</v>
      </c>
      <c r="H56" t="s">
        <v>628</v>
      </c>
    </row>
    <row r="57" spans="1:23" x14ac:dyDescent="0.35">
      <c r="H57" s="1" t="s">
        <v>631</v>
      </c>
      <c r="I57" s="1" t="s">
        <v>498</v>
      </c>
      <c r="J57" s="1" t="s">
        <v>629</v>
      </c>
      <c r="K57" s="1" t="s">
        <v>634</v>
      </c>
    </row>
    <row r="58" spans="1:23" x14ac:dyDescent="0.35">
      <c r="H58" s="9" t="s">
        <v>87</v>
      </c>
      <c r="I58" t="s">
        <v>630</v>
      </c>
      <c r="J58">
        <v>2</v>
      </c>
      <c r="K58" t="str">
        <f>IF(Table5586[[#This Row],[Active]]="Yes",Table5586[[#This Row],[AC Bonus]],"")</f>
        <v/>
      </c>
    </row>
    <row r="59" spans="1:23" x14ac:dyDescent="0.35">
      <c r="H59" s="9" t="s">
        <v>87</v>
      </c>
      <c r="I59" t="s">
        <v>632</v>
      </c>
      <c r="J59">
        <v>2</v>
      </c>
      <c r="K59" t="str">
        <f>IF(Table5586[[#This Row],[Active]]="Yes",Table5586[[#This Row],[AC Bonus]],"")</f>
        <v/>
      </c>
    </row>
    <row r="60" spans="1:23" x14ac:dyDescent="0.35">
      <c r="H60" s="9" t="s">
        <v>87</v>
      </c>
      <c r="I60" t="s">
        <v>633</v>
      </c>
      <c r="J60">
        <v>1</v>
      </c>
      <c r="K60" t="str">
        <f>IF(Table5586[[#This Row],[Active]]="Yes",Table5586[[#This Row],[AC Bonus]],"")</f>
        <v/>
      </c>
    </row>
    <row r="61" spans="1:23" x14ac:dyDescent="0.35">
      <c r="H61" s="9" t="s">
        <v>87</v>
      </c>
      <c r="I61" t="s">
        <v>44</v>
      </c>
      <c r="J61">
        <v>2</v>
      </c>
      <c r="K61" t="str">
        <f>IF(Table5586[[#This Row],[Active]]="Yes",Table5586[[#This Row],[AC Bonus]],"")</f>
        <v/>
      </c>
    </row>
    <row r="62" spans="1:23" x14ac:dyDescent="0.35">
      <c r="H62" s="54" t="s">
        <v>87</v>
      </c>
      <c r="I62" s="38" t="s">
        <v>160</v>
      </c>
      <c r="J62" s="38">
        <v>5</v>
      </c>
      <c r="K62" s="55" t="str">
        <f>IF(Table5586[[#This Row],[Active]]="Yes",Table5586[[#This Row],[AC Bonus]],"")</f>
        <v/>
      </c>
    </row>
    <row r="63" spans="1:23" x14ac:dyDescent="0.35">
      <c r="H63" s="54"/>
      <c r="I63" s="38" t="s">
        <v>658</v>
      </c>
      <c r="J63" s="38">
        <v>2</v>
      </c>
      <c r="K63" s="55" t="str">
        <f>IF(Table5586[[#This Row],[Active]]="Yes",Table5586[[#This Row],[AC Bonus]],"")</f>
        <v/>
      </c>
    </row>
    <row r="64" spans="1:23" x14ac:dyDescent="0.35">
      <c r="H64" s="54"/>
      <c r="I64" s="38" t="s">
        <v>659</v>
      </c>
      <c r="J64" s="38">
        <v>5</v>
      </c>
      <c r="K64" s="55" t="str">
        <f>IF(Table5586[[#This Row],[Active]]="Yes",Table5586[[#This Row],[AC Bonus]],"")</f>
        <v/>
      </c>
    </row>
  </sheetData>
  <pageMargins left="0.7" right="0.7" top="0.75" bottom="0.75" header="0.3" footer="0.3"/>
  <pageSetup orientation="portrait" r:id="rId1"/>
  <ignoredErrors>
    <ignoredError sqref="M38:N38 J37:J39 M39:N39 N37 D32:D35" calculatedColumn="1"/>
  </ignoredErrors>
  <tableParts count="6">
    <tablePart r:id="rId2"/>
    <tablePart r:id="rId3"/>
    <tablePart r:id="rId4"/>
    <tablePart r:id="rId5"/>
    <tablePart r:id="rId6"/>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1D168ACA-D676-4A24-A407-3C83CFE64542}">
          <x14:formula1>
            <xm:f>'Rules of the Game'!$D$1:$D$2</xm:f>
          </x14:formula1>
          <xm:sqref>D2:D7 F10 H58:H64</xm:sqref>
        </x14:dataValidation>
        <x14:dataValidation type="list" allowBlank="1" showInputMessage="1" showErrorMessage="1" xr:uid="{78B8C2C0-5279-4AF1-8AAF-C87550A79BA2}">
          <x14:formula1>
            <xm:f>'Rules of the Game'!$D$4:$D$6</xm:f>
          </x14:formula1>
          <xm:sqref>B11:B28</xm:sqref>
        </x14:dataValidation>
        <x14:dataValidation type="list" allowBlank="1" showInputMessage="1" showErrorMessage="1" xr:uid="{A425C78F-9378-4573-962B-00E9AB4D8DA7}">
          <x14:formula1>
            <xm:f>'Rules of the Game'!$D$42:$D$53</xm:f>
          </x14:formula1>
          <xm:sqref>F11</xm:sqref>
        </x14:dataValidation>
        <x14:dataValidation type="list" allowBlank="1" showInputMessage="1" showErrorMessage="1" xr:uid="{04C2CE8D-2F1E-4CB0-ABE2-20CC06EE1FAE}">
          <x14:formula1>
            <xm:f>'Rules of the Game'!$H$50:$H$55</xm:f>
          </x14:formula1>
          <xm:sqref>H38</xm:sqref>
        </x14:dataValidation>
        <x14:dataValidation type="list" allowBlank="1" showInputMessage="1" showErrorMessage="1" xr:uid="{CA6357FA-DA57-475B-9FA2-02232C6980F1}">
          <x14:formula1>
            <xm:f>'Rules of the Game'!$J$60:$J$69</xm:f>
          </x14:formula1>
          <xm:sqref>I38</xm:sqref>
        </x14:dataValidation>
        <x14:dataValidation type="list" allowBlank="1" showInputMessage="1" showErrorMessage="1" xr:uid="{D51A1FB1-8134-48BC-B19C-A2CAE9D5C256}">
          <x14:formula1>
            <xm:f>'Rules of the Game'!$H$74:$H$85</xm:f>
          </x14:formula1>
          <xm:sqref>H39:I39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7BF6D-6DA6-43AC-BA1B-284357354953}">
  <sheetPr codeName="Sheet6"/>
  <dimension ref="A1:X56"/>
  <sheetViews>
    <sheetView topLeftCell="F1" zoomScale="90" zoomScaleNormal="100" workbookViewId="0">
      <selection activeCell="I55" sqref="I55"/>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20.453125" bestFit="1" customWidth="1"/>
    <col min="8" max="8" width="25.81640625" bestFit="1" customWidth="1"/>
    <col min="9" max="9" width="24.26953125" customWidth="1"/>
    <col min="10" max="10" width="18" customWidth="1"/>
    <col min="11" max="11" width="19.453125" bestFit="1" customWidth="1"/>
    <col min="12" max="12" width="12.54296875" customWidth="1"/>
    <col min="13" max="13" width="10.54296875" customWidth="1"/>
    <col min="14" max="14" width="8.81640625" customWidth="1"/>
    <col min="15" max="15" width="27.1796875" bestFit="1" customWidth="1"/>
    <col min="16" max="16" width="13.1796875" customWidth="1"/>
    <col min="17" max="17" width="14.54296875" customWidth="1"/>
    <col min="18" max="18" width="12.81640625" customWidth="1"/>
    <col min="19" max="19" width="18.81640625" customWidth="1"/>
    <col min="20" max="20" width="19.81640625" customWidth="1"/>
    <col min="21" max="21" width="18.1796875" customWidth="1"/>
    <col min="22" max="22" width="16.453125" customWidth="1"/>
    <col min="24" max="24" width="11.1796875"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18</v>
      </c>
      <c r="C2">
        <f>VLOOKUP(Table5151821[[#This Row],[Score]],Modifier[],2,FALSE)</f>
        <v>4</v>
      </c>
      <c r="D2" t="s">
        <v>87</v>
      </c>
      <c r="E2">
        <f>IF(Table5151821[[#This Row],[Proficiency?]]="No",Table5151821[[#This Row],[Modifiers]],VLOOKUP($F$16,Proficiency[],2,FALSE)+Table5151821[[#This Row],[Modifiers]])</f>
        <v>4</v>
      </c>
      <c r="H2" t="s">
        <v>136</v>
      </c>
      <c r="I2" t="s">
        <v>177</v>
      </c>
      <c r="O2" t="s">
        <v>151</v>
      </c>
      <c r="P2" t="s">
        <v>182</v>
      </c>
    </row>
    <row r="3" spans="1:16" x14ac:dyDescent="0.35">
      <c r="A3" t="s">
        <v>1</v>
      </c>
      <c r="B3">
        <v>18</v>
      </c>
      <c r="C3">
        <f>VLOOKUP(Table5151821[[#This Row],[Score]],Modifier[],2,FALSE)</f>
        <v>4</v>
      </c>
      <c r="D3" t="s">
        <v>86</v>
      </c>
      <c r="E3">
        <f>IF(Table5151821[[#This Row],[Proficiency?]]="No",Table5151821[[#This Row],[Modifiers]],VLOOKUP($F$16,Proficiency[],2,FALSE)+Table5151821[[#This Row],[Modifiers]])</f>
        <v>12</v>
      </c>
      <c r="H3" t="s">
        <v>137</v>
      </c>
      <c r="I3" t="s">
        <v>184</v>
      </c>
      <c r="O3" t="s">
        <v>152</v>
      </c>
    </row>
    <row r="4" spans="1:16" x14ac:dyDescent="0.35">
      <c r="A4" t="s">
        <v>2</v>
      </c>
      <c r="B4">
        <v>18</v>
      </c>
      <c r="C4">
        <f>VLOOKUP(Table5151821[[#This Row],[Score]],Modifier[],2,FALSE)</f>
        <v>4</v>
      </c>
      <c r="D4" t="s">
        <v>86</v>
      </c>
      <c r="E4">
        <f>IF(Table5151821[[#This Row],[Proficiency?]]="No",Table5151821[[#This Row],[Modifiers]],VLOOKUP($F$16,Proficiency[],2,FALSE)+Table5151821[[#This Row],[Modifiers]])</f>
        <v>12</v>
      </c>
      <c r="H4" t="s">
        <v>138</v>
      </c>
      <c r="I4" t="s">
        <v>185</v>
      </c>
      <c r="O4" t="s">
        <v>153</v>
      </c>
    </row>
    <row r="5" spans="1:16" x14ac:dyDescent="0.35">
      <c r="A5" t="s">
        <v>3</v>
      </c>
      <c r="B5">
        <v>20</v>
      </c>
      <c r="C5">
        <f>VLOOKUP(Table5151821[[#This Row],[Score]],Modifier[],2,FALSE)</f>
        <v>5</v>
      </c>
      <c r="D5" t="s">
        <v>86</v>
      </c>
      <c r="E5">
        <f>IF(Table5151821[[#This Row],[Proficiency?]]="No",Table5151821[[#This Row],[Modifiers]],VLOOKUP($F$16,Proficiency[],2,FALSE)+Table5151821[[#This Row],[Modifiers]])</f>
        <v>13</v>
      </c>
      <c r="H5" t="s">
        <v>186</v>
      </c>
      <c r="O5" t="s">
        <v>154</v>
      </c>
    </row>
    <row r="6" spans="1:16" x14ac:dyDescent="0.35">
      <c r="A6" t="s">
        <v>4</v>
      </c>
      <c r="B6">
        <v>11</v>
      </c>
      <c r="C6">
        <f>VLOOKUP(Table5151821[[#This Row],[Score]],Modifier[],2,FALSE)</f>
        <v>0</v>
      </c>
      <c r="D6" t="s">
        <v>86</v>
      </c>
      <c r="E6">
        <f>IF(Table5151821[[#This Row],[Proficiency?]]="No",Table5151821[[#This Row],[Modifiers]],VLOOKUP($F$16,Proficiency[],2,FALSE)+Table5151821[[#This Row],[Modifiers]])</f>
        <v>8</v>
      </c>
      <c r="H6" t="s">
        <v>139</v>
      </c>
      <c r="I6" t="s">
        <v>187</v>
      </c>
      <c r="O6" t="s">
        <v>155</v>
      </c>
    </row>
    <row r="7" spans="1:16" x14ac:dyDescent="0.35">
      <c r="A7" t="s">
        <v>5</v>
      </c>
      <c r="B7">
        <v>14</v>
      </c>
      <c r="C7">
        <f>VLOOKUP(Table5151821[[#This Row],[Score]],Modifier[],2,FALSE)</f>
        <v>2</v>
      </c>
      <c r="D7" t="s">
        <v>86</v>
      </c>
      <c r="E7">
        <f>IF(Table5151821[[#This Row],[Proficiency?]]="No",Table5151821[[#This Row],[Modifiers]],VLOOKUP($F$16,Proficiency[],2,FALSE)+Table5151821[[#This Row],[Modifiers]])</f>
        <v>10</v>
      </c>
      <c r="H7" t="s">
        <v>140</v>
      </c>
      <c r="I7" t="s">
        <v>188</v>
      </c>
      <c r="O7" t="s">
        <v>154</v>
      </c>
    </row>
    <row r="8" spans="1:16" x14ac:dyDescent="0.35">
      <c r="H8" t="s">
        <v>141</v>
      </c>
      <c r="I8" t="s">
        <v>189</v>
      </c>
      <c r="O8" t="s">
        <v>156</v>
      </c>
    </row>
    <row r="10" spans="1:16" x14ac:dyDescent="0.35">
      <c r="A10" t="s">
        <v>90</v>
      </c>
      <c r="B10" t="s">
        <v>91</v>
      </c>
      <c r="C10" t="s">
        <v>13</v>
      </c>
      <c r="E10" t="s">
        <v>116</v>
      </c>
      <c r="F10" s="9" t="s">
        <v>86</v>
      </c>
      <c r="H10" s="1" t="s">
        <v>142</v>
      </c>
      <c r="I10" s="1" t="s">
        <v>135</v>
      </c>
      <c r="O10" s="1" t="s">
        <v>157</v>
      </c>
      <c r="P10" s="1" t="s">
        <v>135</v>
      </c>
    </row>
    <row r="11" spans="1:16" x14ac:dyDescent="0.35">
      <c r="A11" t="s">
        <v>94</v>
      </c>
      <c r="B11" t="s">
        <v>84</v>
      </c>
      <c r="C11">
        <f>VLOOKUP(VLOOKUP(Table9161922[[#This Row],[Skills]],Table10[],2,FALSE),Table5[[Ability]:[Modifiers]],3,FALSE)+VLOOKUP(Table9161922[[#This Row],[Proficiency Level]],Table11[],3,FALSE)</f>
        <v>14</v>
      </c>
      <c r="E11" t="s">
        <v>117</v>
      </c>
      <c r="F11" s="9" t="s">
        <v>121</v>
      </c>
      <c r="H11" t="s">
        <v>143</v>
      </c>
      <c r="I11" t="s">
        <v>183</v>
      </c>
      <c r="O11" t="s">
        <v>158</v>
      </c>
    </row>
    <row r="12" spans="1:16" x14ac:dyDescent="0.35">
      <c r="A12" t="s">
        <v>95</v>
      </c>
      <c r="B12" t="s">
        <v>92</v>
      </c>
      <c r="C12">
        <f>VLOOKUP(VLOOKUP(Table9161922[[#This Row],[Skills]],Table10[],2,FALSE),Table5[[Ability]:[Modifiers]],3,FALSE)+VLOOKUP(Table9161922[[#This Row],[Proficiency Level]],Table11[],3,FALSE)</f>
        <v>0</v>
      </c>
      <c r="E12" t="s">
        <v>122</v>
      </c>
      <c r="F12" s="10">
        <f>IF(ISNUMBER(VLOOKUP('Vampire Spectator'!F11,Table12[],3,FALSE))=FALSE,IF(VLOOKUP('Vampire Spectator'!F11,Table12[],3,FALSE)="Yes",'Vampire Spectator'!$C$3,0),VLOOKUP('Vampire Spectator'!F11,Table12[],3,FALSE))</f>
        <v>0</v>
      </c>
      <c r="H12" t="s">
        <v>144</v>
      </c>
      <c r="I12" t="s">
        <v>190</v>
      </c>
      <c r="O12" t="s">
        <v>159</v>
      </c>
    </row>
    <row r="13" spans="1:16" x14ac:dyDescent="0.35">
      <c r="A13" t="s">
        <v>96</v>
      </c>
      <c r="B13" t="s">
        <v>84</v>
      </c>
      <c r="C13">
        <f>VLOOKUP(VLOOKUP(Table9161922[[#This Row],[Skills]],Table10[],2,FALSE),Table5[[Ability]:[Modifiers]],3,FALSE)+VLOOKUP(Table9161922[[#This Row],[Proficiency Level]],Table11[],3,FALSE)</f>
        <v>14</v>
      </c>
      <c r="E13" t="s">
        <v>123</v>
      </c>
      <c r="F13" s="9">
        <v>1</v>
      </c>
      <c r="H13" t="s">
        <v>145</v>
      </c>
      <c r="I13" t="s">
        <v>191</v>
      </c>
      <c r="O13" t="s">
        <v>160</v>
      </c>
    </row>
    <row r="14" spans="1:16" x14ac:dyDescent="0.35">
      <c r="A14" t="s">
        <v>97</v>
      </c>
      <c r="B14" t="s">
        <v>92</v>
      </c>
      <c r="C14">
        <f>VLOOKUP(VLOOKUP(Table9161922[[#This Row],[Skills]],Table10[],2,FALSE),Table5[[Ability]:[Modifiers]],3,FALSE)+VLOOKUP(Table9161922[[#This Row],[Proficiency Level]],Table11[],3,FALSE)</f>
        <v>0</v>
      </c>
      <c r="H14" t="s">
        <v>146</v>
      </c>
      <c r="I14" t="s">
        <v>192</v>
      </c>
      <c r="O14" t="s">
        <v>161</v>
      </c>
    </row>
    <row r="15" spans="1:16" x14ac:dyDescent="0.35">
      <c r="A15" t="s">
        <v>98</v>
      </c>
      <c r="B15" t="s">
        <v>84</v>
      </c>
      <c r="C15">
        <f>VLOOKUP(VLOOKUP(Table9161922[[#This Row],[Skills]],Table10[],2,FALSE),Table5[[Ability]:[Modifiers]],3,FALSE)+VLOOKUP(Table9161922[[#This Row],[Proficiency Level]],Table11[],3,FALSE)</f>
        <v>11</v>
      </c>
      <c r="H15" t="s">
        <v>147</v>
      </c>
      <c r="O15" t="s">
        <v>162</v>
      </c>
    </row>
    <row r="16" spans="1:16" x14ac:dyDescent="0.35">
      <c r="A16" t="s">
        <v>99</v>
      </c>
      <c r="B16" t="s">
        <v>92</v>
      </c>
      <c r="C16">
        <f>VLOOKUP(VLOOKUP(Table9161922[[#This Row],[Skills]],Table10[],2,FALSE),Table5[[Ability]:[Modifiers]],3,FALSE)+VLOOKUP(Table9161922[[#This Row],[Proficiency Level]],Table11[],3,FALSE)</f>
        <v>5</v>
      </c>
      <c r="E16" s="1" t="s">
        <v>88</v>
      </c>
      <c r="F16" s="9">
        <v>30</v>
      </c>
      <c r="H16" t="s">
        <v>148</v>
      </c>
      <c r="O16" t="s">
        <v>163</v>
      </c>
    </row>
    <row r="17" spans="1:16" x14ac:dyDescent="0.35">
      <c r="A17" t="s">
        <v>100</v>
      </c>
      <c r="B17" t="s">
        <v>84</v>
      </c>
      <c r="C17">
        <f>VLOOKUP(VLOOKUP(Table9161922[[#This Row],[Skills]],Table10[],2,FALSE),Table5[[Ability]:[Modifiers]],3,FALSE)+VLOOKUP(Table9161922[[#This Row],[Proficiency Level]],Table11[],3,FALSE)</f>
        <v>9</v>
      </c>
      <c r="E17" s="1" t="s">
        <v>115</v>
      </c>
      <c r="F17" s="10">
        <f>IF('Vampire Spectator'!F10="Yes",VLOOKUP(F11,Table12[],2,FALSE)+'Vampire Spectator'!F12+2+F13,VLOOKUP(F11,Table12[],2,FALSE)+'Vampire Spectator'!F12+F13)+SUM(Table558687[Applied AC Bonus])</f>
        <v>21</v>
      </c>
      <c r="H17" t="s">
        <v>179</v>
      </c>
      <c r="O17" t="s">
        <v>164</v>
      </c>
    </row>
    <row r="18" spans="1:16" x14ac:dyDescent="0.35">
      <c r="A18" t="s">
        <v>101</v>
      </c>
      <c r="B18" t="s">
        <v>92</v>
      </c>
      <c r="C18">
        <f>VLOOKUP(VLOOKUP(Table9161922[[#This Row],[Skills]],Table10[],2,FALSE),Table5[[Ability]:[Modifiers]],3,FALSE)+VLOOKUP(Table9161922[[#This Row],[Proficiency Level]],Table11[],3,FALSE)</f>
        <v>2</v>
      </c>
      <c r="E18" s="1" t="s">
        <v>132</v>
      </c>
      <c r="F18" s="12">
        <f>SUM(Table13172023[[Average ]])</f>
        <v>425</v>
      </c>
      <c r="H18" t="s">
        <v>180</v>
      </c>
      <c r="O18" t="s">
        <v>165</v>
      </c>
      <c r="P18" t="s">
        <v>198</v>
      </c>
    </row>
    <row r="19" spans="1:16" x14ac:dyDescent="0.35">
      <c r="A19" t="s">
        <v>102</v>
      </c>
      <c r="B19" t="s">
        <v>92</v>
      </c>
      <c r="C19">
        <f>VLOOKUP(VLOOKUP(Table9161922[[#This Row],[Skills]],Table10[],2,FALSE),Table5[[Ability]:[Modifiers]],3,FALSE)+VLOOKUP(Table9161922[[#This Row],[Proficiency Level]],Table11[],3,FALSE)</f>
        <v>5</v>
      </c>
      <c r="E19" s="1" t="s">
        <v>178</v>
      </c>
      <c r="F19" s="10">
        <f>8+VLOOKUP("Intelligence",Table5151821[],3,FALSE)+VLOOKUP(F16,Proficiency[],2,FALSE)</f>
        <v>21</v>
      </c>
      <c r="H19" t="s">
        <v>181</v>
      </c>
      <c r="O19" t="s">
        <v>166</v>
      </c>
    </row>
    <row r="20" spans="1:16" x14ac:dyDescent="0.35">
      <c r="A20" t="s">
        <v>103</v>
      </c>
      <c r="B20" t="s">
        <v>92</v>
      </c>
      <c r="C20">
        <f>VLOOKUP(VLOOKUP(Table9161922[[#This Row],[Skills]],Table10[],2,FALSE),Table5[[Ability]:[Modifiers]],3,FALSE)+VLOOKUP(Table9161922[[#This Row],[Proficiency Level]],Table11[],3,FALSE)</f>
        <v>0</v>
      </c>
      <c r="H20" s="15" t="s">
        <v>230</v>
      </c>
      <c r="O20" s="15" t="s">
        <v>234</v>
      </c>
    </row>
    <row r="21" spans="1:16" x14ac:dyDescent="0.35">
      <c r="A21" t="s">
        <v>104</v>
      </c>
      <c r="B21" t="s">
        <v>92</v>
      </c>
      <c r="C21">
        <f>VLOOKUP(VLOOKUP(Table9161922[[#This Row],[Skills]],Table10[],2,FALSE),Table5[[Ability]:[Modifiers]],3,FALSE)+VLOOKUP(Table9161922[[#This Row],[Proficiency Level]],Table11[],3,FALSE)</f>
        <v>5</v>
      </c>
      <c r="E21" s="14" t="s">
        <v>209</v>
      </c>
      <c r="F21" s="10">
        <f>10+C22</f>
        <v>19</v>
      </c>
      <c r="H21" s="15" t="s">
        <v>231</v>
      </c>
    </row>
    <row r="22" spans="1:16" x14ac:dyDescent="0.35">
      <c r="A22" t="s">
        <v>105</v>
      </c>
      <c r="B22" t="s">
        <v>84</v>
      </c>
      <c r="C22">
        <f>VLOOKUP(VLOOKUP(Table9161922[[#This Row],[Skills]],Table10[],2,FALSE),Table5[[Ability]:[Modifiers]],3,FALSE)+VLOOKUP(Table9161922[[#This Row],[Proficiency Level]],Table11[],3,FALSE)</f>
        <v>9</v>
      </c>
      <c r="H22" s="15" t="s">
        <v>232</v>
      </c>
    </row>
    <row r="23" spans="1:16" x14ac:dyDescent="0.35">
      <c r="A23" t="s">
        <v>106</v>
      </c>
      <c r="B23" t="s">
        <v>92</v>
      </c>
      <c r="C23">
        <f>VLOOKUP(VLOOKUP(Table9161922[[#This Row],[Skills]],Table10[],2,FALSE),Table5[[Ability]:[Modifiers]],3,FALSE)+VLOOKUP(Table9161922[[#This Row],[Proficiency Level]],Table11[],3,FALSE)</f>
        <v>2</v>
      </c>
      <c r="H23" s="15" t="s">
        <v>233</v>
      </c>
    </row>
    <row r="24" spans="1:16" x14ac:dyDescent="0.35">
      <c r="A24" t="s">
        <v>107</v>
      </c>
      <c r="B24" t="s">
        <v>92</v>
      </c>
      <c r="C24">
        <f>VLOOKUP(VLOOKUP(Table9161922[[#This Row],[Skills]],Table10[],2,FALSE),Table5[[Ability]:[Modifiers]],3,FALSE)+VLOOKUP(Table9161922[[#This Row],[Proficiency Level]],Table11[],3,FALSE)</f>
        <v>2</v>
      </c>
      <c r="H24" s="15" t="s">
        <v>241</v>
      </c>
    </row>
    <row r="25" spans="1:16" x14ac:dyDescent="0.35">
      <c r="A25" t="s">
        <v>108</v>
      </c>
      <c r="B25" t="s">
        <v>92</v>
      </c>
      <c r="C25">
        <f>VLOOKUP(VLOOKUP(Table9161922[[#This Row],[Skills]],Table10[],2,FALSE),Table5[[Ability]:[Modifiers]],3,FALSE)+VLOOKUP(Table9161922[[#This Row],[Proficiency Level]],Table11[],3,FALSE)</f>
        <v>5</v>
      </c>
      <c r="H25" s="15" t="s">
        <v>227</v>
      </c>
    </row>
    <row r="26" spans="1:16" x14ac:dyDescent="0.35">
      <c r="A26" t="s">
        <v>109</v>
      </c>
      <c r="B26" t="s">
        <v>92</v>
      </c>
      <c r="C26">
        <f>VLOOKUP(VLOOKUP(Table9161922[[#This Row],[Skills]],Table10[],2,FALSE),Table5[[Ability]:[Modifiers]],3,FALSE)+VLOOKUP(Table9161922[[#This Row],[Proficiency Level]],Table11[],3,FALSE)</f>
        <v>5</v>
      </c>
    </row>
    <row r="27" spans="1:16" x14ac:dyDescent="0.35">
      <c r="A27" t="s">
        <v>110</v>
      </c>
      <c r="B27" t="s">
        <v>93</v>
      </c>
      <c r="C27">
        <f>VLOOKUP(VLOOKUP(Table9161922[[#This Row],[Skills]],Table10[],2,FALSE),Table5[[Ability]:[Modifiers]],3,FALSE)+VLOOKUP(Table9161922[[#This Row],[Proficiency Level]],Table11[],3,FALSE)</f>
        <v>23</v>
      </c>
      <c r="H27" s="1" t="s">
        <v>199</v>
      </c>
    </row>
    <row r="28" spans="1:16" x14ac:dyDescent="0.35">
      <c r="A28" t="s">
        <v>111</v>
      </c>
      <c r="B28" t="s">
        <v>92</v>
      </c>
      <c r="C28">
        <f>VLOOKUP(VLOOKUP(Table9161922[[#This Row],[Skills]],Table10[],2,FALSE),Table5[[Ability]:[Modifiers]],3,FALSE)+VLOOKUP(Table9161922[[#This Row],[Proficiency Level]],Table11[],3,FALSE)</f>
        <v>0</v>
      </c>
      <c r="H28" t="s">
        <v>225</v>
      </c>
      <c r="I28" t="s">
        <v>226</v>
      </c>
    </row>
    <row r="29" spans="1:16" x14ac:dyDescent="0.35">
      <c r="H29" t="s">
        <v>227</v>
      </c>
    </row>
    <row r="30" spans="1:16" x14ac:dyDescent="0.35">
      <c r="H30" t="s">
        <v>200</v>
      </c>
      <c r="I30">
        <v>3</v>
      </c>
    </row>
    <row r="31" spans="1:16" x14ac:dyDescent="0.35">
      <c r="A31" t="s">
        <v>124</v>
      </c>
      <c r="B31" t="s">
        <v>125</v>
      </c>
      <c r="C31" t="s">
        <v>130</v>
      </c>
      <c r="D31" t="s">
        <v>133</v>
      </c>
      <c r="H31" t="s">
        <v>228</v>
      </c>
      <c r="I31" t="s">
        <v>191</v>
      </c>
    </row>
    <row r="32" spans="1:16" x14ac:dyDescent="0.35">
      <c r="A32" t="s">
        <v>126</v>
      </c>
      <c r="B32">
        <v>6</v>
      </c>
      <c r="C32">
        <v>20</v>
      </c>
      <c r="D32">
        <f>(((Table13172023[[#This Row],[Hit Dice]]/2)+0.5)+VLOOKUP("Constitution",Table5151821[[Ability]:[Modifiers]],3,FALSE))*Table13172023[[#This Row],[Levels]]</f>
        <v>150</v>
      </c>
      <c r="H32" t="s">
        <v>204</v>
      </c>
    </row>
    <row r="33" spans="1:24" x14ac:dyDescent="0.35">
      <c r="A33" t="s">
        <v>127</v>
      </c>
      <c r="B33">
        <v>10</v>
      </c>
      <c r="C33">
        <v>3</v>
      </c>
      <c r="D33" s="11">
        <f>(((Table13172023[[#This Row],[Hit Dice]]/2)+0.5)+VLOOKUP("Constitution",Table5151821[[Ability]:[Modifiers]],3,FALSE))*Table13172023[[#This Row],[Levels]]</f>
        <v>28.5</v>
      </c>
      <c r="H33" t="s">
        <v>229</v>
      </c>
    </row>
    <row r="34" spans="1:24" x14ac:dyDescent="0.35">
      <c r="A34" t="s">
        <v>128</v>
      </c>
      <c r="B34">
        <v>6</v>
      </c>
      <c r="C34">
        <v>3</v>
      </c>
      <c r="D34" s="11">
        <f>(((Table13172023[[#This Row],[Hit Dice]]/2)+0.5)+VLOOKUP("Constitution",Table5151821[[Ability]:[Modifiers]],3,FALSE))*Table13172023[[#This Row],[Levels]]</f>
        <v>22.5</v>
      </c>
      <c r="H34" t="s">
        <v>235</v>
      </c>
      <c r="I34" t="s">
        <v>238</v>
      </c>
    </row>
    <row r="35" spans="1:24" x14ac:dyDescent="0.35">
      <c r="A35" t="s">
        <v>129</v>
      </c>
      <c r="B35">
        <v>10</v>
      </c>
      <c r="C35">
        <v>3</v>
      </c>
      <c r="D35" s="11">
        <f>(((Table13172023[[#This Row],[Hit Dice]]/2)+0.5)+VLOOKUP("Constitution",Table5151821[[Ability]:[Modifiers]],3,FALSE))*Table13172023[[#This Row],[Levels]]</f>
        <v>28.5</v>
      </c>
      <c r="H35" t="s">
        <v>239</v>
      </c>
    </row>
    <row r="36" spans="1:24" x14ac:dyDescent="0.35">
      <c r="A36" t="s">
        <v>224</v>
      </c>
      <c r="B36">
        <v>8</v>
      </c>
      <c r="C36">
        <v>23</v>
      </c>
      <c r="D36" s="2">
        <f>(((Table13172023[[#This Row],[Hit Dice]]/2)+0.5)+VLOOKUP("Constitution",Table5151821[[Ability]:[Modifiers]],3,FALSE))*Table13172023[[#This Row],[Levels]]</f>
        <v>195.5</v>
      </c>
    </row>
    <row r="37" spans="1:24" x14ac:dyDescent="0.35">
      <c r="H37" s="32" t="s">
        <v>297</v>
      </c>
      <c r="I37" s="33" t="s">
        <v>513</v>
      </c>
      <c r="J37" s="33" t="s">
        <v>516</v>
      </c>
      <c r="K37" s="33" t="s">
        <v>81</v>
      </c>
      <c r="L37" s="33" t="s">
        <v>514</v>
      </c>
      <c r="M37" s="33" t="s">
        <v>515</v>
      </c>
      <c r="N37" s="33" t="s">
        <v>178</v>
      </c>
      <c r="O37" s="33" t="s">
        <v>351</v>
      </c>
      <c r="P37" s="33" t="s">
        <v>312</v>
      </c>
      <c r="Q37" s="33" t="s">
        <v>314</v>
      </c>
      <c r="R37" s="33" t="s">
        <v>522</v>
      </c>
      <c r="S37" s="33" t="s">
        <v>523</v>
      </c>
      <c r="T37" s="33" t="s">
        <v>524</v>
      </c>
      <c r="U37" s="33" t="s">
        <v>525</v>
      </c>
      <c r="V37" s="33" t="s">
        <v>320</v>
      </c>
      <c r="W37" s="33" t="s">
        <v>319</v>
      </c>
      <c r="X37" s="41" t="s">
        <v>517</v>
      </c>
    </row>
    <row r="38" spans="1:24" x14ac:dyDescent="0.35">
      <c r="A38" s="13" t="s">
        <v>167</v>
      </c>
      <c r="I38" t="s">
        <v>544</v>
      </c>
      <c r="J38" t="s">
        <v>519</v>
      </c>
      <c r="K38" t="s">
        <v>0</v>
      </c>
      <c r="L38">
        <f>4+8</f>
        <v>12</v>
      </c>
      <c r="O38">
        <v>1</v>
      </c>
      <c r="P38">
        <v>8</v>
      </c>
      <c r="Q38">
        <v>4</v>
      </c>
      <c r="V38">
        <f>((Table81[[#This Row],[Damage Dice]]/2)*Table81[[#This Row],['# Dice]])+(Table81[[#This Row],[Bonus Damage Dice]]/2)*Table81[[#This Row],[Bonus '# Dice]]+Table81[[#This Row],[Bonus Damage]]</f>
        <v>8</v>
      </c>
      <c r="W38">
        <v>5</v>
      </c>
      <c r="X38" t="s">
        <v>545</v>
      </c>
    </row>
    <row r="39" spans="1:24" x14ac:dyDescent="0.35">
      <c r="A39" s="1" t="s">
        <v>50</v>
      </c>
      <c r="B39" s="1" t="s">
        <v>171</v>
      </c>
      <c r="I39" t="s">
        <v>230</v>
      </c>
      <c r="J39" t="s">
        <v>519</v>
      </c>
      <c r="K39" t="s">
        <v>0</v>
      </c>
      <c r="L39">
        <f>4+8</f>
        <v>12</v>
      </c>
      <c r="O39">
        <v>1</v>
      </c>
      <c r="P39">
        <v>6</v>
      </c>
      <c r="Q39">
        <v>4</v>
      </c>
      <c r="R39">
        <v>3</v>
      </c>
      <c r="S39">
        <v>6</v>
      </c>
      <c r="V39">
        <f>((Table81[[#This Row],[Damage Dice]]/2)*Table81[[#This Row],['# Dice]])+(Table81[[#This Row],[Bonus Damage Dice]]/2)*Table81[[#This Row],[Bonus '# Dice]]+Table81[[#This Row],[Bonus Damage]]</f>
        <v>16</v>
      </c>
      <c r="W39">
        <v>5</v>
      </c>
    </row>
    <row r="40" spans="1:24" x14ac:dyDescent="0.35">
      <c r="A40">
        <v>1</v>
      </c>
      <c r="B40" t="s">
        <v>47</v>
      </c>
      <c r="I40" t="s">
        <v>231</v>
      </c>
      <c r="J40" t="s">
        <v>89</v>
      </c>
      <c r="M40" t="s">
        <v>4</v>
      </c>
      <c r="N40">
        <v>20</v>
      </c>
      <c r="V40">
        <f>((Table81[[#This Row],[Damage Dice]]/2)*Table81[[#This Row],['# Dice]])+(Table81[[#This Row],[Bonus Damage Dice]]/2)*Table81[[#This Row],[Bonus '# Dice]]+Table81[[#This Row],[Bonus Damage]]</f>
        <v>0</v>
      </c>
      <c r="W40">
        <v>30</v>
      </c>
      <c r="X40" t="s">
        <v>358</v>
      </c>
    </row>
    <row r="41" spans="1:24" x14ac:dyDescent="0.35">
      <c r="A41">
        <v>1</v>
      </c>
      <c r="B41" t="s">
        <v>170</v>
      </c>
      <c r="I41" t="s">
        <v>624</v>
      </c>
      <c r="J41" t="s">
        <v>519</v>
      </c>
      <c r="K41" t="s">
        <v>0</v>
      </c>
      <c r="L41">
        <v>12</v>
      </c>
      <c r="O41">
        <v>2</v>
      </c>
      <c r="P41">
        <v>8</v>
      </c>
      <c r="Q41">
        <v>8</v>
      </c>
      <c r="V41" s="2">
        <f>((Table81[[#This Row],[Damage Dice]]/2)*Table81[[#This Row],['# Dice]])+(Table81[[#This Row],[Bonus Damage Dice]]/2)*Table81[[#This Row],[Bonus '# Dice]]+Table81[[#This Row],[Bonus Damage]]</f>
        <v>16</v>
      </c>
      <c r="W41">
        <v>5</v>
      </c>
    </row>
    <row r="42" spans="1:24" x14ac:dyDescent="0.35">
      <c r="A42">
        <v>2</v>
      </c>
      <c r="B42" t="s">
        <v>168</v>
      </c>
      <c r="I42" t="s">
        <v>625</v>
      </c>
      <c r="J42" t="s">
        <v>519</v>
      </c>
      <c r="K42" t="s">
        <v>0</v>
      </c>
      <c r="L42">
        <v>12</v>
      </c>
      <c r="O42">
        <v>3</v>
      </c>
      <c r="P42">
        <v>8</v>
      </c>
      <c r="Q42">
        <v>12</v>
      </c>
      <c r="V42" s="2">
        <f>((Table81[[#This Row],[Damage Dice]]/2)*Table81[[#This Row],['# Dice]])+(Table81[[#This Row],[Bonus Damage Dice]]/2)*Table81[[#This Row],[Bonus '# Dice]]+Table81[[#This Row],[Bonus Damage]]</f>
        <v>24</v>
      </c>
      <c r="W42">
        <v>5</v>
      </c>
    </row>
    <row r="43" spans="1:24" x14ac:dyDescent="0.35">
      <c r="A43">
        <v>2</v>
      </c>
      <c r="B43" t="s">
        <v>169</v>
      </c>
      <c r="I43" t="s">
        <v>626</v>
      </c>
      <c r="J43" t="s">
        <v>519</v>
      </c>
      <c r="K43" t="s">
        <v>0</v>
      </c>
      <c r="L43">
        <v>12</v>
      </c>
      <c r="O43">
        <v>3</v>
      </c>
      <c r="P43">
        <v>8</v>
      </c>
      <c r="Q43">
        <v>12</v>
      </c>
      <c r="R43">
        <v>6</v>
      </c>
      <c r="S43">
        <v>12</v>
      </c>
      <c r="V43" s="2">
        <f>((Table81[[#This Row],[Damage Dice]]/2)*Table81[[#This Row],['# Dice]])+(Table81[[#This Row],[Bonus Damage Dice]]/2)*Table81[[#This Row],[Bonus '# Dice]]+Table81[[#This Row],[Bonus Damage]]</f>
        <v>60</v>
      </c>
      <c r="W43">
        <v>5</v>
      </c>
    </row>
    <row r="45" spans="1:24" x14ac:dyDescent="0.35">
      <c r="A45" s="13" t="s">
        <v>172</v>
      </c>
    </row>
    <row r="46" spans="1:24" x14ac:dyDescent="0.35">
      <c r="A46" s="1" t="s">
        <v>50</v>
      </c>
      <c r="B46" s="1" t="s">
        <v>171</v>
      </c>
      <c r="H46" t="s">
        <v>628</v>
      </c>
    </row>
    <row r="47" spans="1:24" x14ac:dyDescent="0.35">
      <c r="A47">
        <v>1</v>
      </c>
      <c r="B47" t="s">
        <v>173</v>
      </c>
      <c r="H47" s="1" t="s">
        <v>631</v>
      </c>
      <c r="I47" s="1" t="s">
        <v>498</v>
      </c>
      <c r="J47" s="1" t="s">
        <v>629</v>
      </c>
      <c r="K47" s="1" t="s">
        <v>634</v>
      </c>
    </row>
    <row r="48" spans="1:24" x14ac:dyDescent="0.35">
      <c r="A48">
        <v>1</v>
      </c>
      <c r="B48" t="s">
        <v>49</v>
      </c>
      <c r="H48" s="9" t="s">
        <v>87</v>
      </c>
      <c r="I48" t="s">
        <v>630</v>
      </c>
      <c r="J48">
        <v>2</v>
      </c>
      <c r="K48" t="str">
        <f>IF(Table558687[[#This Row],[Active]]="Yes",Table558687[[#This Row],[AC Bonus]],"")</f>
        <v/>
      </c>
    </row>
    <row r="49" spans="1:11" x14ac:dyDescent="0.35">
      <c r="A49">
        <v>1</v>
      </c>
      <c r="B49" t="s">
        <v>174</v>
      </c>
      <c r="H49" s="9" t="s">
        <v>87</v>
      </c>
      <c r="I49" t="s">
        <v>632</v>
      </c>
      <c r="J49">
        <v>2</v>
      </c>
      <c r="K49" t="str">
        <f>IF(Table558687[[#This Row],[Active]]="Yes",Table558687[[#This Row],[AC Bonus]],"")</f>
        <v/>
      </c>
    </row>
    <row r="50" spans="1:11" x14ac:dyDescent="0.35">
      <c r="A50">
        <v>1</v>
      </c>
      <c r="B50" t="s">
        <v>175</v>
      </c>
      <c r="H50" s="9" t="s">
        <v>87</v>
      </c>
      <c r="I50" t="s">
        <v>633</v>
      </c>
      <c r="J50">
        <v>1</v>
      </c>
      <c r="K50" t="str">
        <f>IF(Table558687[[#This Row],[Active]]="Yes",Table558687[[#This Row],[AC Bonus]],"")</f>
        <v/>
      </c>
    </row>
    <row r="51" spans="1:11" x14ac:dyDescent="0.35">
      <c r="A51">
        <v>1</v>
      </c>
      <c r="B51" t="s">
        <v>47</v>
      </c>
      <c r="H51" s="9" t="s">
        <v>87</v>
      </c>
      <c r="I51" t="s">
        <v>44</v>
      </c>
      <c r="J51">
        <v>2</v>
      </c>
      <c r="K51" t="str">
        <f>IF(Table558687[[#This Row],[Active]]="Yes",Table558687[[#This Row],[AC Bonus]],"")</f>
        <v/>
      </c>
    </row>
    <row r="52" spans="1:11" x14ac:dyDescent="0.35">
      <c r="A52">
        <v>1</v>
      </c>
      <c r="B52" t="s">
        <v>176</v>
      </c>
      <c r="H52" s="54" t="s">
        <v>87</v>
      </c>
      <c r="I52" s="38" t="s">
        <v>160</v>
      </c>
      <c r="J52" s="38">
        <v>5</v>
      </c>
      <c r="K52" s="55" t="str">
        <f>IF(Table558687[[#This Row],[Active]]="Yes",Table558687[[#This Row],[AC Bonus]],"")</f>
        <v/>
      </c>
    </row>
    <row r="53" spans="1:11" x14ac:dyDescent="0.35">
      <c r="H53" s="54"/>
      <c r="I53" s="38" t="s">
        <v>658</v>
      </c>
      <c r="J53" s="38">
        <v>2</v>
      </c>
      <c r="K53" s="55" t="str">
        <f>IF(Table558687[[#This Row],[Active]]="Yes",Table558687[[#This Row],[AC Bonus]],"")</f>
        <v/>
      </c>
    </row>
    <row r="54" spans="1:11" x14ac:dyDescent="0.35">
      <c r="H54" s="54"/>
      <c r="I54" s="38" t="s">
        <v>659</v>
      </c>
      <c r="J54" s="38">
        <v>5</v>
      </c>
      <c r="K54" s="55" t="str">
        <f>IF(Table558687[[#This Row],[Active]]="Yes",Table558687[[#This Row],[AC Bonus]],"")</f>
        <v/>
      </c>
    </row>
    <row r="55" spans="1:11" x14ac:dyDescent="0.35">
      <c r="A55" s="13" t="s">
        <v>240</v>
      </c>
    </row>
    <row r="56" spans="1:11" x14ac:dyDescent="0.35">
      <c r="A56" s="1" t="s">
        <v>50</v>
      </c>
      <c r="B56" s="1" t="s">
        <v>171</v>
      </c>
    </row>
  </sheetData>
  <pageMargins left="0.7" right="0.7" top="0.75" bottom="0.75" header="0.3" footer="0.3"/>
  <tableParts count="5">
    <tablePart r:id="rId1"/>
    <tablePart r:id="rId2"/>
    <tablePart r:id="rId3"/>
    <tablePart r:id="rId4"/>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95AC2604-94B4-401A-8D31-1F3987B18B4E}">
          <x14:formula1>
            <xm:f>'Rules of the Game'!$D$4:$D$6</xm:f>
          </x14:formula1>
          <xm:sqref>B11:B28</xm:sqref>
        </x14:dataValidation>
        <x14:dataValidation type="list" allowBlank="1" showInputMessage="1" showErrorMessage="1" xr:uid="{03C3FE20-70FB-4FDB-8AA3-C6B3C06A5902}">
          <x14:formula1>
            <xm:f>'Rules of the Game'!$D$1:$D$2</xm:f>
          </x14:formula1>
          <xm:sqref>D2:D7 F10 H48:H54</xm:sqref>
        </x14:dataValidation>
        <x14:dataValidation type="list" allowBlank="1" showInputMessage="1" showErrorMessage="1" xr:uid="{14AB23CB-AAF6-4A53-86D5-9EA0FD755FF9}">
          <x14:formula1>
            <xm:f>'Rules of the Game'!$D$42:$D$53</xm:f>
          </x14:formula1>
          <xm:sqref>F11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AE267-94EB-494A-B9F6-93AA12A032D8}">
  <sheetPr codeName="Sheet7"/>
  <dimension ref="A1:V61"/>
  <sheetViews>
    <sheetView topLeftCell="A21" zoomScale="118" zoomScaleNormal="100" workbookViewId="0">
      <selection activeCell="G17" sqref="G17"/>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17.81640625" bestFit="1" customWidth="1"/>
    <col min="7" max="7" width="24.81640625" bestFit="1" customWidth="1"/>
    <col min="8" max="8" width="27.1796875" bestFit="1" customWidth="1"/>
    <col min="9" max="10" width="13.1796875" customWidth="1"/>
    <col min="11" max="11" width="11.453125" bestFit="1" customWidth="1"/>
    <col min="12" max="12" width="9.453125" customWidth="1"/>
    <col min="14" max="14" width="13.54296875" customWidth="1"/>
    <col min="15" max="15" width="27.1796875" bestFit="1" customWidth="1"/>
    <col min="16" max="16" width="16.81640625" customWidth="1"/>
    <col min="17" max="17" width="19.7265625" bestFit="1" customWidth="1"/>
    <col min="18" max="18" width="20.54296875" bestFit="1" customWidth="1"/>
    <col min="19" max="19" width="18.81640625" bestFit="1" customWidth="1"/>
    <col min="20" max="20" width="17.1796875" bestFit="1" customWidth="1"/>
    <col min="22" max="22" width="12.1796875" bestFit="1"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11</v>
      </c>
      <c r="C2">
        <f>VLOOKUP(Table51524[[#This Row],[Score]],Modifier[],2,FALSE)</f>
        <v>0</v>
      </c>
      <c r="D2" t="s">
        <v>87</v>
      </c>
      <c r="E2">
        <f>IF(Table51524[[#This Row],[Proficiency?]]="No",Table51524[[#This Row],[Modifiers]],VLOOKUP($F$16,Proficiency[],2,FALSE)+Table51524[[#This Row],[Modifiers]])</f>
        <v>0</v>
      </c>
      <c r="H2" t="s">
        <v>136</v>
      </c>
      <c r="I2" t="s">
        <v>177</v>
      </c>
      <c r="O2" t="s">
        <v>151</v>
      </c>
      <c r="P2" t="s">
        <v>182</v>
      </c>
    </row>
    <row r="3" spans="1:16" x14ac:dyDescent="0.35">
      <c r="A3" t="s">
        <v>1</v>
      </c>
      <c r="B3">
        <v>17</v>
      </c>
      <c r="C3">
        <f>VLOOKUP(Table51524[[#This Row],[Score]],Modifier[],2,FALSE)</f>
        <v>3</v>
      </c>
      <c r="D3" t="s">
        <v>87</v>
      </c>
      <c r="E3">
        <f>IF(Table51524[[#This Row],[Proficiency?]]="No",Table51524[[#This Row],[Modifiers]],VLOOKUP($F$16,Proficiency[],2,FALSE)+Table51524[[#This Row],[Modifiers]])</f>
        <v>3</v>
      </c>
      <c r="H3" t="s">
        <v>137</v>
      </c>
      <c r="I3" t="s">
        <v>184</v>
      </c>
      <c r="O3" t="s">
        <v>152</v>
      </c>
    </row>
    <row r="4" spans="1:16" x14ac:dyDescent="0.35">
      <c r="A4" t="s">
        <v>2</v>
      </c>
      <c r="B4">
        <v>14</v>
      </c>
      <c r="C4">
        <f>VLOOKUP(Table51524[[#This Row],[Score]],Modifier[],2,FALSE)</f>
        <v>2</v>
      </c>
      <c r="D4" t="s">
        <v>86</v>
      </c>
      <c r="E4">
        <f>IF(Table51524[[#This Row],[Proficiency?]]="No",Table51524[[#This Row],[Modifiers]],VLOOKUP($F$16,Proficiency[],2,FALSE)+Table51524[[#This Row],[Modifiers]])</f>
        <v>10</v>
      </c>
      <c r="H4" t="s">
        <v>138</v>
      </c>
      <c r="I4" t="s">
        <v>185</v>
      </c>
      <c r="O4" t="s">
        <v>153</v>
      </c>
    </row>
    <row r="5" spans="1:16" x14ac:dyDescent="0.35">
      <c r="A5" t="s">
        <v>3</v>
      </c>
      <c r="B5">
        <v>20</v>
      </c>
      <c r="C5">
        <f>VLOOKUP(Table51524[[#This Row],[Score]],Modifier[],2,FALSE)</f>
        <v>5</v>
      </c>
      <c r="D5" t="s">
        <v>86</v>
      </c>
      <c r="E5">
        <f>IF(Table51524[[#This Row],[Proficiency?]]="No",Table51524[[#This Row],[Modifiers]],VLOOKUP($F$16,Proficiency[],2,FALSE)+Table51524[[#This Row],[Modifiers]])</f>
        <v>13</v>
      </c>
      <c r="H5" t="s">
        <v>186</v>
      </c>
      <c r="O5" t="s">
        <v>154</v>
      </c>
    </row>
    <row r="6" spans="1:16" x14ac:dyDescent="0.35">
      <c r="A6" t="s">
        <v>4</v>
      </c>
      <c r="B6">
        <v>11</v>
      </c>
      <c r="C6">
        <f>VLOOKUP(Table51524[[#This Row],[Score]],Modifier[],2,FALSE)</f>
        <v>0</v>
      </c>
      <c r="D6" t="s">
        <v>86</v>
      </c>
      <c r="E6">
        <f>IF(Table51524[[#This Row],[Proficiency?]]="No",Table51524[[#This Row],[Modifiers]],VLOOKUP($F$16,Proficiency[],2,FALSE)+Table51524[[#This Row],[Modifiers]])</f>
        <v>8</v>
      </c>
      <c r="H6" t="s">
        <v>139</v>
      </c>
      <c r="I6" t="s">
        <v>187</v>
      </c>
      <c r="O6" t="s">
        <v>155</v>
      </c>
    </row>
    <row r="7" spans="1:16" x14ac:dyDescent="0.35">
      <c r="A7" t="s">
        <v>5</v>
      </c>
      <c r="B7">
        <v>14</v>
      </c>
      <c r="C7">
        <f>VLOOKUP(Table51524[[#This Row],[Score]],Modifier[],2,FALSE)</f>
        <v>2</v>
      </c>
      <c r="D7" t="s">
        <v>86</v>
      </c>
      <c r="E7">
        <f>IF(Table51524[[#This Row],[Proficiency?]]="No",Table51524[[#This Row],[Modifiers]],VLOOKUP($F$16,Proficiency[],2,FALSE)+Table51524[[#This Row],[Modifiers]])</f>
        <v>10</v>
      </c>
      <c r="H7" t="s">
        <v>140</v>
      </c>
      <c r="I7" t="s">
        <v>188</v>
      </c>
      <c r="O7" t="s">
        <v>154</v>
      </c>
    </row>
    <row r="8" spans="1:16" x14ac:dyDescent="0.35">
      <c r="H8" t="s">
        <v>141</v>
      </c>
      <c r="I8" t="s">
        <v>189</v>
      </c>
      <c r="O8" t="s">
        <v>156</v>
      </c>
    </row>
    <row r="9" spans="1:16" x14ac:dyDescent="0.35">
      <c r="H9" s="17" t="s">
        <v>222</v>
      </c>
      <c r="I9" t="s">
        <v>245</v>
      </c>
    </row>
    <row r="10" spans="1:16" x14ac:dyDescent="0.35">
      <c r="A10" t="s">
        <v>90</v>
      </c>
      <c r="B10" t="s">
        <v>91</v>
      </c>
      <c r="C10" t="s">
        <v>13</v>
      </c>
      <c r="E10" t="s">
        <v>116</v>
      </c>
      <c r="F10" s="9" t="s">
        <v>86</v>
      </c>
      <c r="O10" s="1" t="s">
        <v>157</v>
      </c>
      <c r="P10" s="1" t="s">
        <v>135</v>
      </c>
    </row>
    <row r="11" spans="1:16" x14ac:dyDescent="0.35">
      <c r="A11" t="s">
        <v>94</v>
      </c>
      <c r="B11" t="s">
        <v>84</v>
      </c>
      <c r="C11">
        <f>VLOOKUP(VLOOKUP(Table91625[[#This Row],[Skills]],Table10[],2,FALSE),Table5[[Ability]:[Modifiers]],3,FALSE)+VLOOKUP(Table91625[[#This Row],[Proficiency Level]],Table11[],3,FALSE)</f>
        <v>14</v>
      </c>
      <c r="E11" t="s">
        <v>117</v>
      </c>
      <c r="F11" s="9" t="s">
        <v>118</v>
      </c>
      <c r="H11" s="1" t="s">
        <v>142</v>
      </c>
      <c r="I11" s="1" t="s">
        <v>135</v>
      </c>
      <c r="O11" t="s">
        <v>158</v>
      </c>
    </row>
    <row r="12" spans="1:16" x14ac:dyDescent="0.35">
      <c r="A12" t="s">
        <v>95</v>
      </c>
      <c r="B12" t="s">
        <v>92</v>
      </c>
      <c r="C12">
        <f>VLOOKUP(VLOOKUP(Table91625[[#This Row],[Skills]],Table10[],2,FALSE),Table5[[Ability]:[Modifiers]],3,FALSE)+VLOOKUP(Table91625[[#This Row],[Proficiency Level]],Table11[],3,FALSE)</f>
        <v>0</v>
      </c>
      <c r="E12" t="s">
        <v>122</v>
      </c>
      <c r="F12" s="10">
        <f>IF(ISNUMBER(VLOOKUP('Drow Arachnomancer'!F11,Table12[],3,FALSE))=FALSE,IF(VLOOKUP('Drow Arachnomancer'!F11,Table12[],3,FALSE)="Yes",'Drow Arachnomancer'!$C$3,0),VLOOKUP('Drow Arachnomancer'!F11,Table12[],3,FALSE))</f>
        <v>3</v>
      </c>
      <c r="H12" t="s">
        <v>143</v>
      </c>
      <c r="I12" t="s">
        <v>183</v>
      </c>
      <c r="O12" t="s">
        <v>159</v>
      </c>
    </row>
    <row r="13" spans="1:16" x14ac:dyDescent="0.35">
      <c r="A13" t="s">
        <v>96</v>
      </c>
      <c r="B13" t="s">
        <v>84</v>
      </c>
      <c r="C13">
        <f>VLOOKUP(VLOOKUP(Table91625[[#This Row],[Skills]],Table10[],2,FALSE),Table5[[Ability]:[Modifiers]],3,FALSE)+VLOOKUP(Table91625[[#This Row],[Proficiency Level]],Table11[],3,FALSE)</f>
        <v>14</v>
      </c>
      <c r="E13" t="s">
        <v>123</v>
      </c>
      <c r="F13" s="9">
        <v>1</v>
      </c>
      <c r="H13" t="s">
        <v>144</v>
      </c>
      <c r="I13" t="s">
        <v>190</v>
      </c>
      <c r="O13" t="s">
        <v>160</v>
      </c>
    </row>
    <row r="14" spans="1:16" x14ac:dyDescent="0.35">
      <c r="A14" t="s">
        <v>97</v>
      </c>
      <c r="B14" t="s">
        <v>92</v>
      </c>
      <c r="C14">
        <f>VLOOKUP(VLOOKUP(Table91625[[#This Row],[Skills]],Table10[],2,FALSE),Table5[[Ability]:[Modifiers]],3,FALSE)+VLOOKUP(Table91625[[#This Row],[Proficiency Level]],Table11[],3,FALSE)</f>
        <v>0</v>
      </c>
      <c r="H14" t="s">
        <v>145</v>
      </c>
      <c r="I14" t="s">
        <v>191</v>
      </c>
      <c r="O14" t="s">
        <v>161</v>
      </c>
    </row>
    <row r="15" spans="1:16" x14ac:dyDescent="0.35">
      <c r="A15" t="s">
        <v>98</v>
      </c>
      <c r="B15" t="s">
        <v>84</v>
      </c>
      <c r="C15">
        <f>VLOOKUP(VLOOKUP(Table91625[[#This Row],[Skills]],Table10[],2,FALSE),Table5[[Ability]:[Modifiers]],3,FALSE)+VLOOKUP(Table91625[[#This Row],[Proficiency Level]],Table11[],3,FALSE)</f>
        <v>11</v>
      </c>
      <c r="H15" t="s">
        <v>146</v>
      </c>
      <c r="I15" t="s">
        <v>192</v>
      </c>
      <c r="O15" t="s">
        <v>162</v>
      </c>
    </row>
    <row r="16" spans="1:16" x14ac:dyDescent="0.35">
      <c r="A16" t="s">
        <v>99</v>
      </c>
      <c r="B16" t="s">
        <v>92</v>
      </c>
      <c r="C16">
        <f>VLOOKUP(VLOOKUP(Table91625[[#This Row],[Skills]],Table10[],2,FALSE),Table5[[Ability]:[Modifiers]],3,FALSE)+VLOOKUP(Table91625[[#This Row],[Proficiency Level]],Table11[],3,FALSE)</f>
        <v>5</v>
      </c>
      <c r="E16" s="1" t="s">
        <v>88</v>
      </c>
      <c r="F16" s="9">
        <v>30</v>
      </c>
      <c r="H16" t="s">
        <v>147</v>
      </c>
      <c r="O16" t="s">
        <v>163</v>
      </c>
    </row>
    <row r="17" spans="1:16" x14ac:dyDescent="0.35">
      <c r="A17" t="s">
        <v>100</v>
      </c>
      <c r="B17" t="s">
        <v>84</v>
      </c>
      <c r="C17">
        <f>VLOOKUP(VLOOKUP(Table91625[[#This Row],[Skills]],Table10[],2,FALSE),Table5[[Ability]:[Modifiers]],3,FALSE)+VLOOKUP(Table91625[[#This Row],[Proficiency Level]],Table11[],3,FALSE)</f>
        <v>9</v>
      </c>
      <c r="E17" s="1" t="s">
        <v>115</v>
      </c>
      <c r="F17" s="10">
        <f>IF('Drow Arachnomancer'!F10="Yes",VLOOKUP(F11,Table12[],2,FALSE)+'Drow Arachnomancer'!F12+2+F13,VLOOKUP(F11,Table12[],2,FALSE)+'Drow Arachnomancer'!F12+F13)+SUM(Table55868789[Applied AC Bonus])</f>
        <v>18</v>
      </c>
      <c r="H17" t="s">
        <v>148</v>
      </c>
      <c r="O17" t="s">
        <v>164</v>
      </c>
    </row>
    <row r="18" spans="1:16" x14ac:dyDescent="0.35">
      <c r="A18" t="s">
        <v>101</v>
      </c>
      <c r="B18" t="s">
        <v>92</v>
      </c>
      <c r="C18">
        <f>VLOOKUP(VLOOKUP(Table91625[[#This Row],[Skills]],Table10[],2,FALSE),Table5[[Ability]:[Modifiers]],3,FALSE)+VLOOKUP(Table91625[[#This Row],[Proficiency Level]],Table11[],3,FALSE)</f>
        <v>2</v>
      </c>
      <c r="E18" s="1" t="s">
        <v>132</v>
      </c>
      <c r="F18" s="12">
        <f>SUM(Table131726[[Average ]])</f>
        <v>334</v>
      </c>
      <c r="H18" t="s">
        <v>179</v>
      </c>
      <c r="O18" t="s">
        <v>165</v>
      </c>
      <c r="P18" t="s">
        <v>198</v>
      </c>
    </row>
    <row r="19" spans="1:16" x14ac:dyDescent="0.35">
      <c r="A19" t="s">
        <v>102</v>
      </c>
      <c r="B19" t="s">
        <v>92</v>
      </c>
      <c r="C19">
        <f>VLOOKUP(VLOOKUP(Table91625[[#This Row],[Skills]],Table10[],2,FALSE),Table5[[Ability]:[Modifiers]],3,FALSE)+VLOOKUP(Table91625[[#This Row],[Proficiency Level]],Table11[],3,FALSE)</f>
        <v>5</v>
      </c>
      <c r="E19" s="1" t="s">
        <v>178</v>
      </c>
      <c r="F19" s="10">
        <f>8+VLOOKUP("Intelligence",Table51524[],3,FALSE)+VLOOKUP(F16,Proficiency[],2,FALSE)</f>
        <v>21</v>
      </c>
      <c r="H19" t="s">
        <v>180</v>
      </c>
      <c r="O19" t="s">
        <v>166</v>
      </c>
    </row>
    <row r="20" spans="1:16" x14ac:dyDescent="0.35">
      <c r="A20" t="s">
        <v>103</v>
      </c>
      <c r="B20" t="s">
        <v>92</v>
      </c>
      <c r="C20">
        <f>VLOOKUP(VLOOKUP(Table91625[[#This Row],[Skills]],Table10[],2,FALSE),Table5[[Ability]:[Modifiers]],3,FALSE)+VLOOKUP(Table91625[[#This Row],[Proficiency Level]],Table11[],3,FALSE)</f>
        <v>0</v>
      </c>
      <c r="H20" t="s">
        <v>181</v>
      </c>
    </row>
    <row r="21" spans="1:16" x14ac:dyDescent="0.35">
      <c r="A21" t="s">
        <v>104</v>
      </c>
      <c r="B21" t="s">
        <v>84</v>
      </c>
      <c r="C21">
        <f>VLOOKUP(VLOOKUP(Table91625[[#This Row],[Skills]],Table10[],2,FALSE),Table5[[Ability]:[Modifiers]],3,FALSE)+VLOOKUP(Table91625[[#This Row],[Proficiency Level]],Table11[],3,FALSE)</f>
        <v>14</v>
      </c>
      <c r="E21" s="14" t="s">
        <v>209</v>
      </c>
      <c r="F21" s="10">
        <f>10+C22</f>
        <v>19</v>
      </c>
      <c r="H21" s="17" t="s">
        <v>241</v>
      </c>
    </row>
    <row r="22" spans="1:16" x14ac:dyDescent="0.35">
      <c r="A22" t="s">
        <v>105</v>
      </c>
      <c r="B22" t="s">
        <v>84</v>
      </c>
      <c r="C22">
        <f>VLOOKUP(VLOOKUP(Table91625[[#This Row],[Skills]],Table10[],2,FALSE),Table5[[Ability]:[Modifiers]],3,FALSE)+VLOOKUP(Table91625[[#This Row],[Proficiency Level]],Table11[],3,FALSE)</f>
        <v>9</v>
      </c>
      <c r="H22" s="17" t="s">
        <v>248</v>
      </c>
    </row>
    <row r="23" spans="1:16" x14ac:dyDescent="0.35">
      <c r="A23" t="s">
        <v>106</v>
      </c>
      <c r="B23" t="s">
        <v>92</v>
      </c>
      <c r="C23">
        <f>VLOOKUP(VLOOKUP(Table91625[[#This Row],[Skills]],Table10[],2,FALSE),Table5[[Ability]:[Modifiers]],3,FALSE)+VLOOKUP(Table91625[[#This Row],[Proficiency Level]],Table11[],3,FALSE)</f>
        <v>2</v>
      </c>
      <c r="H23" s="17" t="s">
        <v>230</v>
      </c>
    </row>
    <row r="24" spans="1:16" x14ac:dyDescent="0.35">
      <c r="A24" t="s">
        <v>107</v>
      </c>
      <c r="B24" t="s">
        <v>92</v>
      </c>
      <c r="C24">
        <f>VLOOKUP(VLOOKUP(Table91625[[#This Row],[Skills]],Table10[],2,FALSE),Table5[[Ability]:[Modifiers]],3,FALSE)+VLOOKUP(Table91625[[#This Row],[Proficiency Level]],Table11[],3,FALSE)</f>
        <v>2</v>
      </c>
      <c r="H24" s="17" t="s">
        <v>40</v>
      </c>
    </row>
    <row r="25" spans="1:16" x14ac:dyDescent="0.35">
      <c r="A25" t="s">
        <v>108</v>
      </c>
      <c r="B25" t="s">
        <v>92</v>
      </c>
      <c r="C25">
        <f>VLOOKUP(VLOOKUP(Table91625[[#This Row],[Skills]],Table10[],2,FALSE),Table5[[Ability]:[Modifiers]],3,FALSE)+VLOOKUP(Table91625[[#This Row],[Proficiency Level]],Table11[],3,FALSE)</f>
        <v>5</v>
      </c>
    </row>
    <row r="26" spans="1:16" x14ac:dyDescent="0.35">
      <c r="A26" t="s">
        <v>109</v>
      </c>
      <c r="B26" t="s">
        <v>92</v>
      </c>
      <c r="C26">
        <f>VLOOKUP(VLOOKUP(Table91625[[#This Row],[Skills]],Table10[],2,FALSE),Table5[[Ability]:[Modifiers]],3,FALSE)+VLOOKUP(Table91625[[#This Row],[Proficiency Level]],Table11[],3,FALSE)</f>
        <v>5</v>
      </c>
      <c r="H26" s="1" t="s">
        <v>199</v>
      </c>
    </row>
    <row r="27" spans="1:16" x14ac:dyDescent="0.35">
      <c r="A27" t="s">
        <v>110</v>
      </c>
      <c r="B27" t="s">
        <v>93</v>
      </c>
      <c r="C27">
        <f>VLOOKUP(VLOOKUP(Table91625[[#This Row],[Skills]],Table10[],2,FALSE),Table5[[Ability]:[Modifiers]],3,FALSE)+VLOOKUP(Table91625[[#This Row],[Proficiency Level]],Table11[],3,FALSE)</f>
        <v>23</v>
      </c>
      <c r="H27" t="s">
        <v>244</v>
      </c>
    </row>
    <row r="28" spans="1:16" x14ac:dyDescent="0.35">
      <c r="A28" t="s">
        <v>111</v>
      </c>
      <c r="B28" t="s">
        <v>92</v>
      </c>
      <c r="C28">
        <f>VLOOKUP(VLOOKUP(Table91625[[#This Row],[Skills]],Table10[],2,FALSE),Table5[[Ability]:[Modifiers]],3,FALSE)+VLOOKUP(Table91625[[#This Row],[Proficiency Level]],Table11[],3,FALSE)</f>
        <v>0</v>
      </c>
      <c r="H28" t="s">
        <v>229</v>
      </c>
    </row>
    <row r="29" spans="1:16" x14ac:dyDescent="0.35">
      <c r="H29" t="s">
        <v>246</v>
      </c>
    </row>
    <row r="30" spans="1:16" x14ac:dyDescent="0.35">
      <c r="H30" t="s">
        <v>203</v>
      </c>
    </row>
    <row r="31" spans="1:16" x14ac:dyDescent="0.35">
      <c r="A31" t="s">
        <v>124</v>
      </c>
      <c r="B31" t="s">
        <v>125</v>
      </c>
      <c r="C31" t="s">
        <v>130</v>
      </c>
      <c r="D31" t="s">
        <v>133</v>
      </c>
      <c r="H31" t="s">
        <v>255</v>
      </c>
    </row>
    <row r="32" spans="1:16" x14ac:dyDescent="0.35">
      <c r="A32" t="s">
        <v>126</v>
      </c>
      <c r="B32">
        <v>6</v>
      </c>
      <c r="C32">
        <v>20</v>
      </c>
      <c r="D32">
        <f>(((Table131726[[#This Row],[Hit Dice]]/2)+0.5)+VLOOKUP("Constitution",Table51524[[Ability]:[Modifiers]],3,FALSE))*Table131726[[#This Row],[Levels]]</f>
        <v>110</v>
      </c>
      <c r="H32" t="s">
        <v>247</v>
      </c>
    </row>
    <row r="33" spans="1:22" x14ac:dyDescent="0.35">
      <c r="A33" t="s">
        <v>127</v>
      </c>
      <c r="B33">
        <v>10</v>
      </c>
      <c r="C33">
        <v>3</v>
      </c>
      <c r="D33" s="11">
        <f>(((Table131726[[#This Row],[Hit Dice]]/2)+0.5)+VLOOKUP("Constitution",Table51524[[Ability]:[Modifiers]],3,FALSE))*Table131726[[#This Row],[Levels]]</f>
        <v>22.5</v>
      </c>
      <c r="H33" t="s">
        <v>249</v>
      </c>
    </row>
    <row r="34" spans="1:22" x14ac:dyDescent="0.35">
      <c r="A34" t="s">
        <v>128</v>
      </c>
      <c r="B34">
        <v>6</v>
      </c>
      <c r="C34">
        <v>3</v>
      </c>
      <c r="D34" s="11">
        <f>(((Table131726[[#This Row],[Hit Dice]]/2)+0.5)+VLOOKUP("Constitution",Table51524[[Ability]:[Modifiers]],3,FALSE))*Table131726[[#This Row],[Levels]]</f>
        <v>16.5</v>
      </c>
    </row>
    <row r="35" spans="1:22" x14ac:dyDescent="0.35">
      <c r="A35" t="s">
        <v>129</v>
      </c>
      <c r="B35">
        <v>10</v>
      </c>
      <c r="C35">
        <v>3</v>
      </c>
      <c r="D35" s="11">
        <f>(((Table131726[[#This Row],[Hit Dice]]/2)+0.5)+VLOOKUP("Constitution",Table51524[[Ability]:[Modifiers]],3,FALSE))*Table131726[[#This Row],[Levels]]</f>
        <v>22.5</v>
      </c>
      <c r="F35" s="33" t="s">
        <v>297</v>
      </c>
      <c r="G35" s="33" t="s">
        <v>513</v>
      </c>
      <c r="H35" s="33" t="s">
        <v>516</v>
      </c>
      <c r="I35" s="33" t="s">
        <v>81</v>
      </c>
      <c r="J35" s="33" t="s">
        <v>514</v>
      </c>
      <c r="K35" s="33" t="s">
        <v>515</v>
      </c>
      <c r="L35" s="33" t="s">
        <v>178</v>
      </c>
      <c r="M35" s="33" t="s">
        <v>351</v>
      </c>
      <c r="N35" s="33" t="s">
        <v>312</v>
      </c>
      <c r="O35" s="33" t="s">
        <v>314</v>
      </c>
      <c r="P35" s="33" t="s">
        <v>522</v>
      </c>
      <c r="Q35" s="33" t="s">
        <v>523</v>
      </c>
      <c r="R35" s="33" t="s">
        <v>524</v>
      </c>
      <c r="S35" s="33" t="s">
        <v>525</v>
      </c>
      <c r="T35" s="33" t="s">
        <v>320</v>
      </c>
      <c r="U35" s="33" t="s">
        <v>319</v>
      </c>
      <c r="V35" s="33" t="s">
        <v>517</v>
      </c>
    </row>
    <row r="36" spans="1:22" x14ac:dyDescent="0.35">
      <c r="A36" t="s">
        <v>242</v>
      </c>
      <c r="B36">
        <v>8</v>
      </c>
      <c r="C36">
        <v>25</v>
      </c>
      <c r="D36" s="11">
        <f>(((Table131726[[#This Row],[Hit Dice]]/2)+0.5)+VLOOKUP("Constitution",Table51524[[Ability]:[Modifiers]],3,FALSE))*Table131726[[#This Row],[Levels]]</f>
        <v>162.5</v>
      </c>
      <c r="F36" s="25" t="s">
        <v>242</v>
      </c>
      <c r="G36" s="25" t="s">
        <v>520</v>
      </c>
      <c r="H36" s="25" t="s">
        <v>519</v>
      </c>
      <c r="I36" s="25" t="s">
        <v>1</v>
      </c>
      <c r="J36" s="25">
        <f>VLOOKUP(Table71[[#This Row],[Ability Score]],Table51524[],3,FALSE)+VLOOKUP($F$16,Proficiency[],2,FALSE)</f>
        <v>11</v>
      </c>
      <c r="K36" s="25"/>
      <c r="L36" s="25"/>
      <c r="M36" s="25">
        <v>8</v>
      </c>
      <c r="N36" s="25">
        <v>6</v>
      </c>
      <c r="O36" s="25"/>
      <c r="P36" s="25">
        <v>4</v>
      </c>
      <c r="Q36" s="25">
        <v>12</v>
      </c>
      <c r="R36" s="25"/>
      <c r="S36" s="25"/>
      <c r="T36" s="25">
        <f>((Table71[[#This Row],[Damage Dice]]/2)*Table71[[#This Row],['# Dice]])+(Table71[[#This Row],[Bonus Damage Dice]]/2)*Table71[[#This Row],[Bonus '# Dice]]</f>
        <v>48</v>
      </c>
      <c r="U36" s="25">
        <v>5</v>
      </c>
      <c r="V36" s="25"/>
    </row>
    <row r="37" spans="1:22" x14ac:dyDescent="0.35">
      <c r="F37" s="27" t="s">
        <v>242</v>
      </c>
      <c r="G37" s="27" t="s">
        <v>248</v>
      </c>
      <c r="H37" s="27" t="s">
        <v>519</v>
      </c>
      <c r="I37" s="27" t="s">
        <v>1</v>
      </c>
      <c r="J37" s="27">
        <f>VLOOKUP(Table71[[#This Row],[Ability Score]],Table51524[],3,FALSE)+VLOOKUP($F$16,Proficiency[],2,FALSE)</f>
        <v>11</v>
      </c>
      <c r="K37" s="27"/>
      <c r="L37" s="27"/>
      <c r="M37" s="27">
        <v>8</v>
      </c>
      <c r="N37" s="27">
        <v>6</v>
      </c>
      <c r="O37" s="27"/>
      <c r="P37" s="27">
        <v>4</v>
      </c>
      <c r="Q37" s="27">
        <v>12</v>
      </c>
      <c r="R37" s="27"/>
      <c r="S37" s="27"/>
      <c r="T37" s="27">
        <f>((Table71[[#This Row],[Damage Dice]]/2)*Table71[[#This Row],['# Dice]])+(Table71[[#This Row],[Bonus Damage Dice]]/2)*Table71[[#This Row],[Bonus '# Dice]]</f>
        <v>48</v>
      </c>
      <c r="U37" s="27">
        <v>5</v>
      </c>
      <c r="V37" s="27"/>
    </row>
    <row r="38" spans="1:22" x14ac:dyDescent="0.35">
      <c r="A38" s="13" t="s">
        <v>167</v>
      </c>
      <c r="F38" s="25" t="s">
        <v>242</v>
      </c>
      <c r="G38" s="25" t="s">
        <v>521</v>
      </c>
      <c r="H38" s="25" t="s">
        <v>519</v>
      </c>
      <c r="I38" s="25" t="s">
        <v>1</v>
      </c>
      <c r="J38" s="25">
        <f>VLOOKUP(Table71[[#This Row],[Ability Score]],Table51524[],3,FALSE)+VLOOKUP($F$16,Proficiency[],2,FALSE)</f>
        <v>11</v>
      </c>
      <c r="K38" s="25"/>
      <c r="L38" s="25"/>
      <c r="M38" s="25">
        <v>2</v>
      </c>
      <c r="N38" s="25">
        <v>8</v>
      </c>
      <c r="O38" s="25">
        <f>VLOOKUP(Table71[[#This Row],[Ability Score]],Table51524[[Ability]:[Modifiers]],3,FALSE)</f>
        <v>3</v>
      </c>
      <c r="P38" s="25">
        <v>8</v>
      </c>
      <c r="Q38" s="25">
        <v>12</v>
      </c>
      <c r="R38" s="25" t="s">
        <v>2</v>
      </c>
      <c r="S38" s="25">
        <f>8+VLOOKUP($F$16,Proficiency[],2,FALSE)+'Drow Arachnomancer'!$C$4</f>
        <v>18</v>
      </c>
      <c r="T38" s="25">
        <f>((Table71[[#This Row],[Damage Dice]]/2)*Table71[[#This Row],['# Dice]])+(Table71[[#This Row],[Bonus Damage Dice]]/2)*Table71[[#This Row],[Bonus '# Dice]]</f>
        <v>56</v>
      </c>
      <c r="U38" s="25">
        <v>5</v>
      </c>
      <c r="V38" s="25" t="s">
        <v>526</v>
      </c>
    </row>
    <row r="39" spans="1:22" x14ac:dyDescent="0.35">
      <c r="A39" s="1" t="s">
        <v>50</v>
      </c>
      <c r="B39" s="1" t="s">
        <v>171</v>
      </c>
      <c r="F39" s="40" t="s">
        <v>242</v>
      </c>
      <c r="G39" s="40" t="s">
        <v>230</v>
      </c>
      <c r="H39" s="40" t="s">
        <v>519</v>
      </c>
      <c r="I39" s="40" t="s">
        <v>1</v>
      </c>
      <c r="J39" s="40">
        <f>VLOOKUP(Table71[[#This Row],[Ability Score]],Table51524[],3,FALSE)+VLOOKUP($F$16,Proficiency[],2,FALSE)</f>
        <v>11</v>
      </c>
      <c r="K39" s="40"/>
      <c r="L39" s="40"/>
      <c r="M39" s="40">
        <v>2</v>
      </c>
      <c r="N39" s="40">
        <v>8</v>
      </c>
      <c r="O39" s="40">
        <f>VLOOKUP(Table71[[#This Row],[Ability Score]],Table51524[[Ability]:[Modifiers]],3,FALSE)</f>
        <v>3</v>
      </c>
      <c r="P39" s="40">
        <v>4</v>
      </c>
      <c r="Q39" s="40">
        <v>12</v>
      </c>
      <c r="R39" s="40" t="s">
        <v>2</v>
      </c>
      <c r="S39" s="40">
        <f>8+VLOOKUP($F$16,Proficiency[],2,FALSE)+'Drow Arachnomancer'!$C$4</f>
        <v>18</v>
      </c>
      <c r="T39" s="40">
        <f>((Table71[[#This Row],[Damage Dice]]/2)*Table71[[#This Row],['# Dice]])+(Table71[[#This Row],[Bonus Damage Dice]]/2)*Table71[[#This Row],[Bonus '# Dice]]</f>
        <v>32</v>
      </c>
      <c r="U39" s="40">
        <v>5</v>
      </c>
      <c r="V39" s="40" t="s">
        <v>526</v>
      </c>
    </row>
    <row r="40" spans="1:22" x14ac:dyDescent="0.35">
      <c r="A40">
        <v>1</v>
      </c>
      <c r="B40" t="s">
        <v>47</v>
      </c>
      <c r="F40" t="s">
        <v>242</v>
      </c>
      <c r="G40" t="s">
        <v>40</v>
      </c>
      <c r="H40" t="s">
        <v>519</v>
      </c>
      <c r="I40" t="s">
        <v>1</v>
      </c>
      <c r="J40">
        <f>VLOOKUP(Table71[[#This Row],[Ability Score]],Table51524[],3,FALSE)+VLOOKUP($F$16,Proficiency[],2,FALSE)</f>
        <v>11</v>
      </c>
      <c r="T40">
        <f>((Table71[[#This Row],[Damage Dice]]/2)*Table71[[#This Row],['# Dice]])+(Table71[[#This Row],[Bonus Damage Dice]]/2)*Table71[[#This Row],[Bonus '# Dice]]</f>
        <v>0</v>
      </c>
      <c r="U40">
        <v>30</v>
      </c>
      <c r="V40" t="s">
        <v>365</v>
      </c>
    </row>
    <row r="41" spans="1:22" x14ac:dyDescent="0.35">
      <c r="A41">
        <v>1</v>
      </c>
      <c r="B41" t="s">
        <v>170</v>
      </c>
    </row>
    <row r="42" spans="1:22" x14ac:dyDescent="0.35">
      <c r="A42">
        <v>2</v>
      </c>
      <c r="B42" t="s">
        <v>168</v>
      </c>
      <c r="F42" t="s">
        <v>628</v>
      </c>
    </row>
    <row r="43" spans="1:22" x14ac:dyDescent="0.35">
      <c r="A43">
        <v>2</v>
      </c>
      <c r="B43" t="s">
        <v>169</v>
      </c>
      <c r="F43" s="1" t="s">
        <v>631</v>
      </c>
      <c r="G43" s="1" t="s">
        <v>498</v>
      </c>
      <c r="H43" s="1" t="s">
        <v>629</v>
      </c>
      <c r="I43" s="1" t="s">
        <v>634</v>
      </c>
    </row>
    <row r="44" spans="1:22" x14ac:dyDescent="0.35">
      <c r="F44" s="9" t="s">
        <v>87</v>
      </c>
      <c r="G44" t="s">
        <v>630</v>
      </c>
      <c r="H44">
        <v>2</v>
      </c>
      <c r="I44" t="str">
        <f>IF(Table55868789[[#This Row],[Active]]="Yes",Table55868789[[#This Row],[AC Bonus]],"")</f>
        <v/>
      </c>
    </row>
    <row r="45" spans="1:22" x14ac:dyDescent="0.35">
      <c r="A45" s="13" t="s">
        <v>172</v>
      </c>
      <c r="F45" s="9" t="s">
        <v>87</v>
      </c>
      <c r="G45" t="s">
        <v>632</v>
      </c>
      <c r="H45">
        <v>2</v>
      </c>
      <c r="I45" t="str">
        <f>IF(Table55868789[[#This Row],[Active]]="Yes",Table55868789[[#This Row],[AC Bonus]],"")</f>
        <v/>
      </c>
    </row>
    <row r="46" spans="1:22" x14ac:dyDescent="0.35">
      <c r="A46" s="1" t="s">
        <v>50</v>
      </c>
      <c r="B46" s="1" t="s">
        <v>171</v>
      </c>
      <c r="F46" s="9" t="s">
        <v>87</v>
      </c>
      <c r="G46" t="s">
        <v>633</v>
      </c>
      <c r="H46">
        <v>1</v>
      </c>
      <c r="I46" t="str">
        <f>IF(Table55868789[[#This Row],[Active]]="Yes",Table55868789[[#This Row],[AC Bonus]],"")</f>
        <v/>
      </c>
    </row>
    <row r="47" spans="1:22" x14ac:dyDescent="0.35">
      <c r="A47">
        <v>1</v>
      </c>
      <c r="B47" t="s">
        <v>173</v>
      </c>
      <c r="F47" s="9" t="s">
        <v>87</v>
      </c>
      <c r="G47" t="s">
        <v>44</v>
      </c>
      <c r="H47">
        <v>2</v>
      </c>
      <c r="I47" t="str">
        <f>IF(Table55868789[[#This Row],[Active]]="Yes",Table55868789[[#This Row],[AC Bonus]],"")</f>
        <v/>
      </c>
    </row>
    <row r="48" spans="1:22" x14ac:dyDescent="0.35">
      <c r="A48">
        <v>1</v>
      </c>
      <c r="B48" t="s">
        <v>49</v>
      </c>
      <c r="F48" s="54" t="s">
        <v>87</v>
      </c>
      <c r="G48" s="38" t="s">
        <v>160</v>
      </c>
      <c r="H48" s="38">
        <v>5</v>
      </c>
      <c r="I48" s="55" t="str">
        <f>IF(Table55868789[[#This Row],[Active]]="Yes",Table55868789[[#This Row],[AC Bonus]],"")</f>
        <v/>
      </c>
    </row>
    <row r="49" spans="1:9" x14ac:dyDescent="0.35">
      <c r="A49">
        <v>1</v>
      </c>
      <c r="B49" t="s">
        <v>174</v>
      </c>
      <c r="F49" s="54"/>
      <c r="G49" s="38" t="s">
        <v>658</v>
      </c>
      <c r="H49" s="38">
        <v>2</v>
      </c>
      <c r="I49" s="55" t="str">
        <f>IF(Table55868789[[#This Row],[Active]]="Yes",Table55868789[[#This Row],[AC Bonus]],"")</f>
        <v/>
      </c>
    </row>
    <row r="50" spans="1:9" x14ac:dyDescent="0.35">
      <c r="A50">
        <v>1</v>
      </c>
      <c r="B50" t="s">
        <v>175</v>
      </c>
      <c r="F50" s="54"/>
      <c r="G50" s="38" t="s">
        <v>659</v>
      </c>
      <c r="H50" s="38">
        <v>5</v>
      </c>
      <c r="I50" s="55" t="str">
        <f>IF(Table55868789[[#This Row],[Active]]="Yes",Table55868789[[#This Row],[AC Bonus]],"")</f>
        <v/>
      </c>
    </row>
    <row r="51" spans="1:9" x14ac:dyDescent="0.35">
      <c r="A51">
        <v>1</v>
      </c>
      <c r="B51" t="s">
        <v>47</v>
      </c>
    </row>
    <row r="52" spans="1:9" x14ac:dyDescent="0.35">
      <c r="A52">
        <v>1</v>
      </c>
      <c r="B52" t="s">
        <v>176</v>
      </c>
    </row>
    <row r="54" spans="1:9" x14ac:dyDescent="0.35">
      <c r="A54" s="13" t="s">
        <v>250</v>
      </c>
    </row>
    <row r="55" spans="1:9" x14ac:dyDescent="0.35">
      <c r="A55" s="1" t="s">
        <v>50</v>
      </c>
      <c r="B55" s="1" t="s">
        <v>171</v>
      </c>
    </row>
    <row r="60" spans="1:9" x14ac:dyDescent="0.35">
      <c r="A60" s="13" t="s">
        <v>243</v>
      </c>
    </row>
    <row r="61" spans="1:9" x14ac:dyDescent="0.35">
      <c r="A61" s="1" t="s">
        <v>50</v>
      </c>
      <c r="B61" s="1" t="s">
        <v>171</v>
      </c>
    </row>
  </sheetData>
  <pageMargins left="0.7" right="0.7" top="0.75" bottom="0.75" header="0.3" footer="0.3"/>
  <tableParts count="5">
    <tablePart r:id="rId1"/>
    <tablePart r:id="rId2"/>
    <tablePart r:id="rId3"/>
    <tablePart r:id="rId4"/>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69FF9988-013C-4BF7-A3EA-0C0A40D09ADF}">
          <x14:formula1>
            <xm:f>'Rules of the Game'!$D$1:$D$2</xm:f>
          </x14:formula1>
          <xm:sqref>D2:D7 F10 F44:F50</xm:sqref>
        </x14:dataValidation>
        <x14:dataValidation type="list" allowBlank="1" showInputMessage="1" showErrorMessage="1" xr:uid="{6D74F36D-1417-4141-B0BA-A377DE3138FF}">
          <x14:formula1>
            <xm:f>'Rules of the Game'!$D$4:$D$6</xm:f>
          </x14:formula1>
          <xm:sqref>B11:B28</xm:sqref>
        </x14:dataValidation>
        <x14:dataValidation type="list" allowBlank="1" showInputMessage="1" showErrorMessage="1" xr:uid="{90C174CF-91A4-440E-9FD9-331A575E28B6}">
          <x14:formula1>
            <xm:f>'Rules of the Game'!$D$42:$D$53</xm:f>
          </x14:formula1>
          <xm:sqref>F11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E4585-1954-48A2-835A-F1A5C81A924A}">
  <sheetPr codeName="Sheet8"/>
  <dimension ref="A1:V61"/>
  <sheetViews>
    <sheetView topLeftCell="A5" zoomScale="90" zoomScaleNormal="100" workbookViewId="0">
      <selection activeCell="G44" sqref="G44"/>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17.81640625" bestFit="1" customWidth="1"/>
    <col min="7" max="7" width="12.81640625" customWidth="1"/>
    <col min="8" max="8" width="27.1796875" bestFit="1" customWidth="1"/>
    <col min="9" max="10" width="13.1796875" customWidth="1"/>
    <col min="11" max="11" width="11.1796875" customWidth="1"/>
    <col min="12" max="12" width="9.453125" customWidth="1"/>
    <col min="14" max="14" width="13.54296875" customWidth="1"/>
    <col min="15" max="15" width="27.1796875" bestFit="1" customWidth="1"/>
    <col min="16" max="16" width="13.453125" customWidth="1"/>
    <col min="17" max="17" width="19.26953125" customWidth="1"/>
    <col min="18" max="18" width="20.1796875" customWidth="1"/>
    <col min="19" max="19" width="18.54296875" customWidth="1"/>
    <col min="20" max="20" width="16.81640625" customWidth="1"/>
    <col min="22" max="22" width="11.81640625"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11</v>
      </c>
      <c r="C2">
        <f>VLOOKUP(Table5152427[[#This Row],[Score]],Modifier[],2,FALSE)</f>
        <v>0</v>
      </c>
      <c r="D2" t="s">
        <v>87</v>
      </c>
      <c r="E2">
        <f>IF(Table5152427[[#This Row],[Proficiency?]]="No",Table5152427[[#This Row],[Modifiers]],VLOOKUP($F$16,Proficiency[],2,FALSE)+Table5152427[[#This Row],[Modifiers]])</f>
        <v>0</v>
      </c>
      <c r="H2" t="s">
        <v>136</v>
      </c>
      <c r="I2" t="s">
        <v>177</v>
      </c>
      <c r="O2" t="s">
        <v>151</v>
      </c>
      <c r="P2" t="s">
        <v>182</v>
      </c>
    </row>
    <row r="3" spans="1:16" x14ac:dyDescent="0.35">
      <c r="A3" t="s">
        <v>1</v>
      </c>
      <c r="B3">
        <v>18</v>
      </c>
      <c r="C3">
        <f>VLOOKUP(Table5152427[[#This Row],[Score]],Modifier[],2,FALSE)</f>
        <v>4</v>
      </c>
      <c r="D3" t="s">
        <v>86</v>
      </c>
      <c r="E3">
        <f>IF(Table5152427[[#This Row],[Proficiency?]]="No",Table5152427[[#This Row],[Modifiers]],VLOOKUP($F$16,Proficiency[],2,FALSE)+Table5152427[[#This Row],[Modifiers]])</f>
        <v>12</v>
      </c>
      <c r="H3" t="s">
        <v>137</v>
      </c>
      <c r="I3" t="s">
        <v>184</v>
      </c>
      <c r="O3" t="s">
        <v>152</v>
      </c>
    </row>
    <row r="4" spans="1:16" x14ac:dyDescent="0.35">
      <c r="A4" t="s">
        <v>2</v>
      </c>
      <c r="B4">
        <v>14</v>
      </c>
      <c r="C4">
        <f>VLOOKUP(Table5152427[[#This Row],[Score]],Modifier[],2,FALSE)</f>
        <v>2</v>
      </c>
      <c r="D4" t="s">
        <v>86</v>
      </c>
      <c r="E4">
        <f>IF(Table5152427[[#This Row],[Proficiency?]]="No",Table5152427[[#This Row],[Modifiers]],VLOOKUP($F$16,Proficiency[],2,FALSE)+Table5152427[[#This Row],[Modifiers]])</f>
        <v>10</v>
      </c>
      <c r="H4" t="s">
        <v>138</v>
      </c>
      <c r="I4" t="s">
        <v>185</v>
      </c>
      <c r="O4" t="s">
        <v>153</v>
      </c>
    </row>
    <row r="5" spans="1:16" x14ac:dyDescent="0.35">
      <c r="A5" t="s">
        <v>3</v>
      </c>
      <c r="B5">
        <v>20</v>
      </c>
      <c r="C5">
        <f>VLOOKUP(Table5152427[[#This Row],[Score]],Modifier[],2,FALSE)</f>
        <v>5</v>
      </c>
      <c r="D5" t="s">
        <v>86</v>
      </c>
      <c r="E5">
        <f>IF(Table5152427[[#This Row],[Proficiency?]]="No",Table5152427[[#This Row],[Modifiers]],VLOOKUP($F$16,Proficiency[],2,FALSE)+Table5152427[[#This Row],[Modifiers]])</f>
        <v>13</v>
      </c>
      <c r="H5" t="s">
        <v>186</v>
      </c>
      <c r="O5" t="s">
        <v>154</v>
      </c>
    </row>
    <row r="6" spans="1:16" x14ac:dyDescent="0.35">
      <c r="A6" t="s">
        <v>4</v>
      </c>
      <c r="B6">
        <v>11</v>
      </c>
      <c r="C6">
        <f>VLOOKUP(Table5152427[[#This Row],[Score]],Modifier[],2,FALSE)</f>
        <v>0</v>
      </c>
      <c r="D6" t="s">
        <v>86</v>
      </c>
      <c r="E6">
        <f>IF(Table5152427[[#This Row],[Proficiency?]]="No",Table5152427[[#This Row],[Modifiers]],VLOOKUP($F$16,Proficiency[],2,FALSE)+Table5152427[[#This Row],[Modifiers]])</f>
        <v>8</v>
      </c>
      <c r="H6" t="s">
        <v>139</v>
      </c>
      <c r="I6" t="s">
        <v>187</v>
      </c>
      <c r="O6" t="s">
        <v>155</v>
      </c>
    </row>
    <row r="7" spans="1:16" x14ac:dyDescent="0.35">
      <c r="A7" t="s">
        <v>5</v>
      </c>
      <c r="B7">
        <v>14</v>
      </c>
      <c r="C7">
        <f>VLOOKUP(Table5152427[[#This Row],[Score]],Modifier[],2,FALSE)</f>
        <v>2</v>
      </c>
      <c r="D7" t="s">
        <v>87</v>
      </c>
      <c r="E7">
        <f>IF(Table5152427[[#This Row],[Proficiency?]]="No",Table5152427[[#This Row],[Modifiers]],VLOOKUP($F$16,Proficiency[],2,FALSE)+Table5152427[[#This Row],[Modifiers]])</f>
        <v>2</v>
      </c>
      <c r="H7" t="s">
        <v>140</v>
      </c>
      <c r="I7" t="s">
        <v>188</v>
      </c>
      <c r="O7" t="s">
        <v>154</v>
      </c>
    </row>
    <row r="8" spans="1:16" x14ac:dyDescent="0.35">
      <c r="H8" t="s">
        <v>141</v>
      </c>
      <c r="I8" t="s">
        <v>189</v>
      </c>
      <c r="O8" t="s">
        <v>156</v>
      </c>
    </row>
    <row r="9" spans="1:16" x14ac:dyDescent="0.35">
      <c r="H9" s="18"/>
      <c r="I9" t="s">
        <v>245</v>
      </c>
    </row>
    <row r="10" spans="1:16" x14ac:dyDescent="0.35">
      <c r="A10" t="s">
        <v>90</v>
      </c>
      <c r="B10" t="s">
        <v>91</v>
      </c>
      <c r="C10" t="s">
        <v>13</v>
      </c>
      <c r="E10" t="s">
        <v>116</v>
      </c>
      <c r="F10" s="9" t="s">
        <v>86</v>
      </c>
      <c r="O10" s="1" t="s">
        <v>157</v>
      </c>
      <c r="P10" s="1" t="s">
        <v>135</v>
      </c>
    </row>
    <row r="11" spans="1:16" x14ac:dyDescent="0.35">
      <c r="A11" t="s">
        <v>94</v>
      </c>
      <c r="B11" t="s">
        <v>84</v>
      </c>
      <c r="C11">
        <f>VLOOKUP(VLOOKUP(Table9162528[[#This Row],[Skills]],Table10[],2,FALSE),Table5[[Ability]:[Modifiers]],3,FALSE)+VLOOKUP(Table9162528[[#This Row],[Proficiency Level]],Table11[],3,FALSE)</f>
        <v>14</v>
      </c>
      <c r="E11" t="s">
        <v>117</v>
      </c>
      <c r="F11" s="9" t="s">
        <v>48</v>
      </c>
      <c r="H11" s="1" t="s">
        <v>142</v>
      </c>
      <c r="I11" s="1" t="s">
        <v>135</v>
      </c>
      <c r="O11" t="s">
        <v>158</v>
      </c>
    </row>
    <row r="12" spans="1:16" x14ac:dyDescent="0.35">
      <c r="A12" t="s">
        <v>95</v>
      </c>
      <c r="B12" t="s">
        <v>92</v>
      </c>
      <c r="C12">
        <f>VLOOKUP(VLOOKUP(Table9162528[[#This Row],[Skills]],Table10[],2,FALSE),Table5[[Ability]:[Modifiers]],3,FALSE)+VLOOKUP(Table9162528[[#This Row],[Proficiency Level]],Table11[],3,FALSE)</f>
        <v>0</v>
      </c>
      <c r="E12" t="s">
        <v>122</v>
      </c>
      <c r="F12" s="10">
        <f>IF(ISNUMBER(VLOOKUP(Gloomweaver!F11,Table12[],3,FALSE))=FALSE,IF(VLOOKUP(Gloomweaver!F11,Table12[],3,FALSE)="Yes",Gloomweaver!$C$3,0),VLOOKUP(Gloomweaver!F11,Table12[],3,FALSE))</f>
        <v>4</v>
      </c>
      <c r="H12" t="s">
        <v>143</v>
      </c>
      <c r="I12" t="s">
        <v>183</v>
      </c>
      <c r="O12" t="s">
        <v>159</v>
      </c>
    </row>
    <row r="13" spans="1:16" x14ac:dyDescent="0.35">
      <c r="A13" t="s">
        <v>96</v>
      </c>
      <c r="B13" t="s">
        <v>84</v>
      </c>
      <c r="C13">
        <f>VLOOKUP(VLOOKUP(Table9162528[[#This Row],[Skills]],Table10[],2,FALSE),Table5[[Ability]:[Modifiers]],3,FALSE)+VLOOKUP(Table9162528[[#This Row],[Proficiency Level]],Table11[],3,FALSE)</f>
        <v>14</v>
      </c>
      <c r="E13" t="s">
        <v>123</v>
      </c>
      <c r="F13" s="9">
        <v>1</v>
      </c>
      <c r="H13" t="s">
        <v>144</v>
      </c>
      <c r="I13" t="s">
        <v>190</v>
      </c>
      <c r="O13" t="s">
        <v>160</v>
      </c>
    </row>
    <row r="14" spans="1:16" x14ac:dyDescent="0.35">
      <c r="A14" t="s">
        <v>97</v>
      </c>
      <c r="B14" t="s">
        <v>92</v>
      </c>
      <c r="C14">
        <f>VLOOKUP(VLOOKUP(Table9162528[[#This Row],[Skills]],Table10[],2,FALSE),Table5[[Ability]:[Modifiers]],3,FALSE)+VLOOKUP(Table9162528[[#This Row],[Proficiency Level]],Table11[],3,FALSE)</f>
        <v>0</v>
      </c>
      <c r="H14" t="s">
        <v>145</v>
      </c>
      <c r="I14" t="s">
        <v>191</v>
      </c>
      <c r="O14" t="s">
        <v>161</v>
      </c>
    </row>
    <row r="15" spans="1:16" x14ac:dyDescent="0.35">
      <c r="A15" t="s">
        <v>98</v>
      </c>
      <c r="B15" t="s">
        <v>84</v>
      </c>
      <c r="C15">
        <f>VLOOKUP(VLOOKUP(Table9162528[[#This Row],[Skills]],Table10[],2,FALSE),Table5[[Ability]:[Modifiers]],3,FALSE)+VLOOKUP(Table9162528[[#This Row],[Proficiency Level]],Table11[],3,FALSE)</f>
        <v>11</v>
      </c>
      <c r="H15" t="s">
        <v>146</v>
      </c>
      <c r="I15" t="s">
        <v>192</v>
      </c>
      <c r="O15" t="s">
        <v>162</v>
      </c>
    </row>
    <row r="16" spans="1:16" x14ac:dyDescent="0.35">
      <c r="A16" t="s">
        <v>99</v>
      </c>
      <c r="B16" t="s">
        <v>92</v>
      </c>
      <c r="C16">
        <f>VLOOKUP(VLOOKUP(Table9162528[[#This Row],[Skills]],Table10[],2,FALSE),Table5[[Ability]:[Modifiers]],3,FALSE)+VLOOKUP(Table9162528[[#This Row],[Proficiency Level]],Table11[],3,FALSE)</f>
        <v>5</v>
      </c>
      <c r="E16" s="1" t="s">
        <v>88</v>
      </c>
      <c r="F16" s="9">
        <v>30</v>
      </c>
      <c r="H16" t="s">
        <v>147</v>
      </c>
      <c r="O16" t="s">
        <v>163</v>
      </c>
    </row>
    <row r="17" spans="1:22" x14ac:dyDescent="0.35">
      <c r="A17" t="s">
        <v>100</v>
      </c>
      <c r="B17" t="s">
        <v>84</v>
      </c>
      <c r="C17">
        <f>VLOOKUP(VLOOKUP(Table9162528[[#This Row],[Skills]],Table10[],2,FALSE),Table5[[Ability]:[Modifiers]],3,FALSE)+VLOOKUP(Table9162528[[#This Row],[Proficiency Level]],Table11[],3,FALSE)</f>
        <v>9</v>
      </c>
      <c r="E17" s="1" t="s">
        <v>115</v>
      </c>
      <c r="F17" s="10">
        <f>IF(Gloomweaver!F10="Yes",VLOOKUP(F11,Table12[],2,FALSE)+Gloomweaver!F12+2+F13,VLOOKUP(F11,Table12[],2,FALSE)+Gloomweaver!F12+F13)+SUM(Table5586878990[Applied AC Bonus])</f>
        <v>20</v>
      </c>
      <c r="H17" t="s">
        <v>148</v>
      </c>
      <c r="O17" t="s">
        <v>164</v>
      </c>
    </row>
    <row r="18" spans="1:22" x14ac:dyDescent="0.35">
      <c r="A18" t="s">
        <v>101</v>
      </c>
      <c r="B18" t="s">
        <v>92</v>
      </c>
      <c r="C18">
        <f>VLOOKUP(VLOOKUP(Table9162528[[#This Row],[Skills]],Table10[],2,FALSE),Table5[[Ability]:[Modifiers]],3,FALSE)+VLOOKUP(Table9162528[[#This Row],[Proficiency Level]],Table11[],3,FALSE)</f>
        <v>2</v>
      </c>
      <c r="E18" s="1" t="s">
        <v>132</v>
      </c>
      <c r="F18" s="12">
        <f>SUM(Table13172629[[Average ]])</f>
        <v>334</v>
      </c>
      <c r="H18" t="s">
        <v>179</v>
      </c>
      <c r="O18" t="s">
        <v>165</v>
      </c>
      <c r="P18" t="s">
        <v>198</v>
      </c>
    </row>
    <row r="19" spans="1:22" x14ac:dyDescent="0.35">
      <c r="A19" t="s">
        <v>102</v>
      </c>
      <c r="B19" t="s">
        <v>92</v>
      </c>
      <c r="C19">
        <f>VLOOKUP(VLOOKUP(Table9162528[[#This Row],[Skills]],Table10[],2,FALSE),Table5[[Ability]:[Modifiers]],3,FALSE)+VLOOKUP(Table9162528[[#This Row],[Proficiency Level]],Table11[],3,FALSE)</f>
        <v>5</v>
      </c>
      <c r="E19" s="1" t="s">
        <v>178</v>
      </c>
      <c r="F19" s="10">
        <f>8+VLOOKUP("Intelligence",Table5152427[],3,FALSE)+VLOOKUP(F16,Proficiency[],2,FALSE)</f>
        <v>21</v>
      </c>
      <c r="H19" t="s">
        <v>180</v>
      </c>
      <c r="O19" t="s">
        <v>166</v>
      </c>
    </row>
    <row r="20" spans="1:22" x14ac:dyDescent="0.35">
      <c r="A20" t="s">
        <v>103</v>
      </c>
      <c r="B20" t="s">
        <v>92</v>
      </c>
      <c r="C20">
        <f>VLOOKUP(VLOOKUP(Table9162528[[#This Row],[Skills]],Table10[],2,FALSE),Table5[[Ability]:[Modifiers]],3,FALSE)+VLOOKUP(Table9162528[[#This Row],[Proficiency Level]],Table11[],3,FALSE)</f>
        <v>0</v>
      </c>
      <c r="H20" t="s">
        <v>181</v>
      </c>
      <c r="O20" s="19" t="s">
        <v>257</v>
      </c>
    </row>
    <row r="21" spans="1:22" x14ac:dyDescent="0.35">
      <c r="A21" t="s">
        <v>104</v>
      </c>
      <c r="B21" t="s">
        <v>84</v>
      </c>
      <c r="C21">
        <f>VLOOKUP(VLOOKUP(Table9162528[[#This Row],[Skills]],Table10[],2,FALSE),Table5[[Ability]:[Modifiers]],3,FALSE)+VLOOKUP(Table9162528[[#This Row],[Proficiency Level]],Table11[],3,FALSE)</f>
        <v>14</v>
      </c>
      <c r="E21" s="14" t="s">
        <v>209</v>
      </c>
      <c r="F21" s="10">
        <f>10+C22</f>
        <v>19</v>
      </c>
      <c r="H21" s="19" t="s">
        <v>241</v>
      </c>
      <c r="I21" t="s">
        <v>261</v>
      </c>
    </row>
    <row r="22" spans="1:22" x14ac:dyDescent="0.35">
      <c r="A22" t="s">
        <v>105</v>
      </c>
      <c r="B22" t="s">
        <v>84</v>
      </c>
      <c r="C22">
        <f>VLOOKUP(VLOOKUP(Table9162528[[#This Row],[Skills]],Table10[],2,FALSE),Table5[[Ability]:[Modifiers]],3,FALSE)+VLOOKUP(Table9162528[[#This Row],[Proficiency Level]],Table11[],3,FALSE)</f>
        <v>9</v>
      </c>
      <c r="H22" s="18"/>
    </row>
    <row r="23" spans="1:22" x14ac:dyDescent="0.35">
      <c r="A23" t="s">
        <v>106</v>
      </c>
      <c r="B23" t="s">
        <v>92</v>
      </c>
      <c r="C23">
        <f>VLOOKUP(VLOOKUP(Table9162528[[#This Row],[Skills]],Table10[],2,FALSE),Table5[[Ability]:[Modifiers]],3,FALSE)+VLOOKUP(Table9162528[[#This Row],[Proficiency Level]],Table11[],3,FALSE)</f>
        <v>2</v>
      </c>
      <c r="H23" s="1" t="s">
        <v>199</v>
      </c>
    </row>
    <row r="24" spans="1:22" x14ac:dyDescent="0.35">
      <c r="A24" t="s">
        <v>107</v>
      </c>
      <c r="B24" t="s">
        <v>92</v>
      </c>
      <c r="C24">
        <f>VLOOKUP(VLOOKUP(Table9162528[[#This Row],[Skills]],Table10[],2,FALSE),Table5[[Ability]:[Modifiers]],3,FALSE)+VLOOKUP(Table9162528[[#This Row],[Proficiency Level]],Table11[],3,FALSE)</f>
        <v>2</v>
      </c>
      <c r="H24" s="18" t="s">
        <v>251</v>
      </c>
    </row>
    <row r="25" spans="1:22" x14ac:dyDescent="0.35">
      <c r="A25" t="s">
        <v>108</v>
      </c>
      <c r="B25" t="s">
        <v>92</v>
      </c>
      <c r="C25">
        <f>VLOOKUP(VLOOKUP(Table9162528[[#This Row],[Skills]],Table10[],2,FALSE),Table5[[Ability]:[Modifiers]],3,FALSE)+VLOOKUP(Table9162528[[#This Row],[Proficiency Level]],Table11[],3,FALSE)</f>
        <v>5</v>
      </c>
      <c r="H25" s="18" t="s">
        <v>252</v>
      </c>
      <c r="I25" t="s">
        <v>253</v>
      </c>
    </row>
    <row r="26" spans="1:22" x14ac:dyDescent="0.35">
      <c r="A26" t="s">
        <v>109</v>
      </c>
      <c r="B26" t="s">
        <v>92</v>
      </c>
      <c r="C26">
        <f>VLOOKUP(VLOOKUP(Table9162528[[#This Row],[Skills]],Table10[],2,FALSE),Table5[[Ability]:[Modifiers]],3,FALSE)+VLOOKUP(Table9162528[[#This Row],[Proficiency Level]],Table11[],3,FALSE)</f>
        <v>5</v>
      </c>
      <c r="H26" s="18" t="s">
        <v>246</v>
      </c>
    </row>
    <row r="27" spans="1:22" x14ac:dyDescent="0.35">
      <c r="A27" t="s">
        <v>110</v>
      </c>
      <c r="B27" t="s">
        <v>93</v>
      </c>
      <c r="C27">
        <f>VLOOKUP(VLOOKUP(Table9162528[[#This Row],[Skills]],Table10[],2,FALSE),Table5[[Ability]:[Modifiers]],3,FALSE)+VLOOKUP(Table9162528[[#This Row],[Proficiency Level]],Table11[],3,FALSE)</f>
        <v>23</v>
      </c>
      <c r="H27" s="18" t="s">
        <v>203</v>
      </c>
    </row>
    <row r="28" spans="1:22" x14ac:dyDescent="0.35">
      <c r="A28" t="s">
        <v>111</v>
      </c>
      <c r="B28" t="s">
        <v>92</v>
      </c>
      <c r="C28">
        <f>VLOOKUP(VLOOKUP(Table9162528[[#This Row],[Skills]],Table10[],2,FALSE),Table5[[Ability]:[Modifiers]],3,FALSE)+VLOOKUP(Table9162528[[#This Row],[Proficiency Level]],Table11[],3,FALSE)</f>
        <v>0</v>
      </c>
      <c r="H28" s="18" t="s">
        <v>254</v>
      </c>
    </row>
    <row r="29" spans="1:22" x14ac:dyDescent="0.35">
      <c r="H29" s="18" t="s">
        <v>256</v>
      </c>
    </row>
    <row r="30" spans="1:22" x14ac:dyDescent="0.35">
      <c r="H30" s="18"/>
    </row>
    <row r="31" spans="1:22" x14ac:dyDescent="0.35">
      <c r="A31" t="s">
        <v>124</v>
      </c>
      <c r="B31" t="s">
        <v>125</v>
      </c>
      <c r="C31" t="s">
        <v>130</v>
      </c>
      <c r="D31" t="s">
        <v>133</v>
      </c>
      <c r="F31" s="32" t="s">
        <v>297</v>
      </c>
      <c r="G31" s="33" t="s">
        <v>513</v>
      </c>
      <c r="H31" s="33" t="s">
        <v>516</v>
      </c>
      <c r="I31" s="33" t="s">
        <v>81</v>
      </c>
      <c r="J31" s="33" t="s">
        <v>514</v>
      </c>
      <c r="K31" s="33" t="s">
        <v>515</v>
      </c>
      <c r="L31" s="33" t="s">
        <v>178</v>
      </c>
      <c r="M31" s="33" t="s">
        <v>351</v>
      </c>
      <c r="N31" s="33" t="s">
        <v>312</v>
      </c>
      <c r="O31" s="33" t="s">
        <v>314</v>
      </c>
      <c r="P31" s="33" t="s">
        <v>522</v>
      </c>
      <c r="Q31" s="33" t="s">
        <v>523</v>
      </c>
      <c r="R31" s="33" t="s">
        <v>524</v>
      </c>
      <c r="S31" s="33" t="s">
        <v>525</v>
      </c>
      <c r="T31" s="33" t="s">
        <v>320</v>
      </c>
      <c r="U31" s="33" t="s">
        <v>319</v>
      </c>
      <c r="V31" s="41" t="s">
        <v>517</v>
      </c>
    </row>
    <row r="32" spans="1:22" x14ac:dyDescent="0.35">
      <c r="A32" t="s">
        <v>126</v>
      </c>
      <c r="B32">
        <v>6</v>
      </c>
      <c r="C32">
        <v>20</v>
      </c>
      <c r="D32">
        <f>(((Table13172629[[#This Row],[Hit Dice]]/2)+0.5)+VLOOKUP("Constitution",Table5152427[[Ability]:[Modifiers]],3,FALSE))*Table13172629[[#This Row],[Levels]]</f>
        <v>110</v>
      </c>
      <c r="G32" t="s">
        <v>540</v>
      </c>
      <c r="H32" t="s">
        <v>519</v>
      </c>
      <c r="I32" t="s">
        <v>1</v>
      </c>
      <c r="J32">
        <f>4+VLOOKUP($F$16,Proficiency[],2,FALSE)</f>
        <v>12</v>
      </c>
      <c r="M32">
        <v>1</v>
      </c>
      <c r="N32">
        <v>8</v>
      </c>
      <c r="O32">
        <v>4</v>
      </c>
      <c r="P32">
        <v>4</v>
      </c>
      <c r="Q32">
        <v>12</v>
      </c>
      <c r="T32">
        <f>((Table78[[#This Row],[Damage Dice]]/2)*Table78[[#This Row],['# Dice]])+((Table78[[#This Row],[Bonus Damage Dice]]/2)*Table78[[#This Row],[Bonus '# Dice]])+Table78[[#This Row],[Bonus Damage]]</f>
        <v>32</v>
      </c>
      <c r="U32">
        <v>5</v>
      </c>
    </row>
    <row r="33" spans="1:9" x14ac:dyDescent="0.35">
      <c r="A33" t="s">
        <v>127</v>
      </c>
      <c r="B33">
        <v>10</v>
      </c>
      <c r="C33">
        <v>3</v>
      </c>
      <c r="D33" s="11">
        <f>(((Table13172629[[#This Row],[Hit Dice]]/2)+0.5)+VLOOKUP("Constitution",Table5152427[[Ability]:[Modifiers]],3,FALSE))*Table13172629[[#This Row],[Levels]]</f>
        <v>22.5</v>
      </c>
    </row>
    <row r="34" spans="1:9" x14ac:dyDescent="0.35">
      <c r="A34" t="s">
        <v>128</v>
      </c>
      <c r="B34">
        <v>6</v>
      </c>
      <c r="C34">
        <v>3</v>
      </c>
      <c r="D34" s="11">
        <f>(((Table13172629[[#This Row],[Hit Dice]]/2)+0.5)+VLOOKUP("Constitution",Table5152427[[Ability]:[Modifiers]],3,FALSE))*Table13172629[[#This Row],[Levels]]</f>
        <v>16.5</v>
      </c>
    </row>
    <row r="35" spans="1:9" x14ac:dyDescent="0.35">
      <c r="A35" t="s">
        <v>129</v>
      </c>
      <c r="B35">
        <v>10</v>
      </c>
      <c r="C35">
        <v>3</v>
      </c>
      <c r="D35" s="11">
        <f>(((Table13172629[[#This Row],[Hit Dice]]/2)+0.5)+VLOOKUP("Constitution",Table5152427[[Ability]:[Modifiers]],3,FALSE))*Table13172629[[#This Row],[Levels]]</f>
        <v>22.5</v>
      </c>
      <c r="F35" t="s">
        <v>628</v>
      </c>
    </row>
    <row r="36" spans="1:9" x14ac:dyDescent="0.35">
      <c r="A36" t="s">
        <v>242</v>
      </c>
      <c r="B36">
        <v>8</v>
      </c>
      <c r="C36">
        <v>25</v>
      </c>
      <c r="D36" s="11">
        <f>(((Table13172629[[#This Row],[Hit Dice]]/2)+0.5)+VLOOKUP("Constitution",Table5152427[[Ability]:[Modifiers]],3,FALSE))*Table13172629[[#This Row],[Levels]]</f>
        <v>162.5</v>
      </c>
      <c r="F36" s="1" t="s">
        <v>631</v>
      </c>
      <c r="G36" s="1" t="s">
        <v>498</v>
      </c>
      <c r="H36" s="1" t="s">
        <v>629</v>
      </c>
      <c r="I36" s="1" t="s">
        <v>634</v>
      </c>
    </row>
    <row r="37" spans="1:9" x14ac:dyDescent="0.35">
      <c r="F37" s="9" t="s">
        <v>87</v>
      </c>
      <c r="G37" t="s">
        <v>630</v>
      </c>
      <c r="H37">
        <v>2</v>
      </c>
      <c r="I37" t="str">
        <f>IF(Table5586878990[[#This Row],[Active]]="Yes",Table5586878990[[#This Row],[AC Bonus]],"")</f>
        <v/>
      </c>
    </row>
    <row r="38" spans="1:9" x14ac:dyDescent="0.35">
      <c r="A38" s="13" t="s">
        <v>167</v>
      </c>
      <c r="F38" s="9" t="s">
        <v>87</v>
      </c>
      <c r="G38" t="s">
        <v>632</v>
      </c>
      <c r="H38">
        <v>2</v>
      </c>
      <c r="I38" t="str">
        <f>IF(Table5586878990[[#This Row],[Active]]="Yes",Table5586878990[[#This Row],[AC Bonus]],"")</f>
        <v/>
      </c>
    </row>
    <row r="39" spans="1:9" x14ac:dyDescent="0.35">
      <c r="A39" s="1" t="s">
        <v>50</v>
      </c>
      <c r="B39" s="1" t="s">
        <v>171</v>
      </c>
      <c r="F39" s="9" t="s">
        <v>87</v>
      </c>
      <c r="G39" t="s">
        <v>633</v>
      </c>
      <c r="H39">
        <v>1</v>
      </c>
      <c r="I39" t="str">
        <f>IF(Table5586878990[[#This Row],[Active]]="Yes",Table5586878990[[#This Row],[AC Bonus]],"")</f>
        <v/>
      </c>
    </row>
    <row r="40" spans="1:9" x14ac:dyDescent="0.35">
      <c r="A40">
        <v>1</v>
      </c>
      <c r="B40" t="s">
        <v>47</v>
      </c>
      <c r="F40" s="9" t="s">
        <v>87</v>
      </c>
      <c r="G40" t="s">
        <v>44</v>
      </c>
      <c r="H40">
        <v>2</v>
      </c>
      <c r="I40" t="str">
        <f>IF(Table5586878990[[#This Row],[Active]]="Yes",Table5586878990[[#This Row],[AC Bonus]],"")</f>
        <v/>
      </c>
    </row>
    <row r="41" spans="1:9" x14ac:dyDescent="0.35">
      <c r="A41">
        <v>1</v>
      </c>
      <c r="B41" t="s">
        <v>170</v>
      </c>
      <c r="F41" s="54" t="s">
        <v>87</v>
      </c>
      <c r="G41" s="38" t="s">
        <v>160</v>
      </c>
      <c r="H41" s="38">
        <v>5</v>
      </c>
      <c r="I41" s="55" t="str">
        <f>IF(Table5586878990[[#This Row],[Active]]="Yes",Table5586878990[[#This Row],[AC Bonus]],"")</f>
        <v/>
      </c>
    </row>
    <row r="42" spans="1:9" x14ac:dyDescent="0.35">
      <c r="A42">
        <v>2</v>
      </c>
      <c r="B42" t="s">
        <v>168</v>
      </c>
      <c r="F42" s="54"/>
      <c r="G42" s="38" t="s">
        <v>658</v>
      </c>
      <c r="H42" s="38">
        <v>2</v>
      </c>
      <c r="I42" s="55" t="str">
        <f>IF(Table5586878990[[#This Row],[Active]]="Yes",Table5586878990[[#This Row],[AC Bonus]],"")</f>
        <v/>
      </c>
    </row>
    <row r="43" spans="1:9" x14ac:dyDescent="0.35">
      <c r="A43">
        <v>2</v>
      </c>
      <c r="B43" t="s">
        <v>169</v>
      </c>
      <c r="F43" s="54"/>
      <c r="G43" s="38" t="s">
        <v>659</v>
      </c>
      <c r="H43" s="38">
        <v>5</v>
      </c>
      <c r="I43" s="55" t="str">
        <f>IF(Table5586878990[[#This Row],[Active]]="Yes",Table5586878990[[#This Row],[AC Bonus]],"")</f>
        <v/>
      </c>
    </row>
    <row r="45" spans="1:9" x14ac:dyDescent="0.35">
      <c r="A45" s="13" t="s">
        <v>172</v>
      </c>
    </row>
    <row r="46" spans="1:9" x14ac:dyDescent="0.35">
      <c r="A46" s="1" t="s">
        <v>50</v>
      </c>
      <c r="B46" s="1" t="s">
        <v>171</v>
      </c>
    </row>
    <row r="47" spans="1:9" x14ac:dyDescent="0.35">
      <c r="A47">
        <v>1</v>
      </c>
      <c r="B47" t="s">
        <v>173</v>
      </c>
    </row>
    <row r="48" spans="1:9" x14ac:dyDescent="0.35">
      <c r="A48">
        <v>1</v>
      </c>
      <c r="B48" t="s">
        <v>49</v>
      </c>
    </row>
    <row r="49" spans="1:2" x14ac:dyDescent="0.35">
      <c r="A49">
        <v>1</v>
      </c>
      <c r="B49" t="s">
        <v>174</v>
      </c>
    </row>
    <row r="50" spans="1:2" x14ac:dyDescent="0.35">
      <c r="A50">
        <v>1</v>
      </c>
      <c r="B50" t="s">
        <v>175</v>
      </c>
    </row>
    <row r="51" spans="1:2" x14ac:dyDescent="0.35">
      <c r="A51">
        <v>1</v>
      </c>
      <c r="B51" t="s">
        <v>47</v>
      </c>
    </row>
    <row r="52" spans="1:2" x14ac:dyDescent="0.35">
      <c r="A52">
        <v>1</v>
      </c>
      <c r="B52" t="s">
        <v>176</v>
      </c>
    </row>
    <row r="54" spans="1:2" x14ac:dyDescent="0.35">
      <c r="A54" s="13" t="s">
        <v>259</v>
      </c>
    </row>
    <row r="55" spans="1:2" x14ac:dyDescent="0.35">
      <c r="A55" s="1" t="s">
        <v>50</v>
      </c>
      <c r="B55" s="1" t="s">
        <v>171</v>
      </c>
    </row>
    <row r="60" spans="1:2" x14ac:dyDescent="0.35">
      <c r="A60" s="13" t="s">
        <v>260</v>
      </c>
    </row>
    <row r="61" spans="1:2" x14ac:dyDescent="0.35">
      <c r="A61" s="1" t="s">
        <v>50</v>
      </c>
      <c r="B61" s="1" t="s">
        <v>171</v>
      </c>
    </row>
  </sheetData>
  <pageMargins left="0.7" right="0.7" top="0.75" bottom="0.75" header="0.3" footer="0.3"/>
  <tableParts count="5">
    <tablePart r:id="rId1"/>
    <tablePart r:id="rId2"/>
    <tablePart r:id="rId3"/>
    <tablePart r:id="rId4"/>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604A6B15-8D74-46A7-BA70-BE173D675091}">
          <x14:formula1>
            <xm:f>'Rules of the Game'!$D$4:$D$6</xm:f>
          </x14:formula1>
          <xm:sqref>B11:B28</xm:sqref>
        </x14:dataValidation>
        <x14:dataValidation type="list" allowBlank="1" showInputMessage="1" showErrorMessage="1" xr:uid="{52BAB64E-AE68-4879-9A47-85A234325E50}">
          <x14:formula1>
            <xm:f>'Rules of the Game'!$D$1:$D$2</xm:f>
          </x14:formula1>
          <xm:sqref>D2:D7 F10 F37:F43</xm:sqref>
        </x14:dataValidation>
        <x14:dataValidation type="list" allowBlank="1" showInputMessage="1" showErrorMessage="1" xr:uid="{62C94E82-48CE-40BA-8C69-2F26D30F2C67}">
          <x14:formula1>
            <xm:f>'Rules of the Game'!$D$42:$D$53</xm:f>
          </x14:formula1>
          <xm:sqref>F11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E27CF-0C7C-49B3-ADEE-E58D9B50495E}">
  <sheetPr codeName="Sheet9"/>
  <dimension ref="A1:U61"/>
  <sheetViews>
    <sheetView topLeftCell="A12" zoomScale="88" zoomScaleNormal="100" workbookViewId="0">
      <selection activeCell="G46" sqref="G46"/>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17.81640625" bestFit="1" customWidth="1"/>
    <col min="7" max="7" width="18" customWidth="1"/>
    <col min="8" max="8" width="27.1796875" bestFit="1" customWidth="1"/>
    <col min="9" max="9" width="12.54296875" customWidth="1"/>
    <col min="10" max="10" width="10.7265625" customWidth="1"/>
    <col min="11" max="11" width="9.1796875" customWidth="1"/>
    <col min="13" max="13" width="13.26953125" customWidth="1"/>
    <col min="14" max="14" width="14.81640625" customWidth="1"/>
    <col min="15" max="15" width="27.1796875" bestFit="1" customWidth="1"/>
    <col min="16" max="16" width="18.81640625" customWidth="1"/>
    <col min="17" max="17" width="19.7265625" customWidth="1"/>
    <col min="18" max="18" width="18.1796875" customWidth="1"/>
    <col min="19" max="19" width="16.54296875" customWidth="1"/>
    <col min="21" max="21" width="11.453125"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12</v>
      </c>
      <c r="C2">
        <f>VLOOKUP(Table515242730[[#This Row],[Score]],Modifier[],2,FALSE)</f>
        <v>1</v>
      </c>
      <c r="D2" t="s">
        <v>87</v>
      </c>
      <c r="E2">
        <f>IF(Table515242730[[#This Row],[Proficiency?]]="No",Table515242730[[#This Row],[Modifiers]],VLOOKUP($F$16,Proficiency[],2,FALSE)+Table515242730[[#This Row],[Modifiers]])</f>
        <v>1</v>
      </c>
      <c r="H2" t="s">
        <v>136</v>
      </c>
      <c r="I2" t="s">
        <v>177</v>
      </c>
      <c r="O2" t="s">
        <v>151</v>
      </c>
      <c r="P2" t="s">
        <v>182</v>
      </c>
    </row>
    <row r="3" spans="1:16" x14ac:dyDescent="0.35">
      <c r="A3" t="s">
        <v>1</v>
      </c>
      <c r="B3">
        <v>19</v>
      </c>
      <c r="C3">
        <f>VLOOKUP(Table515242730[[#This Row],[Score]],Modifier[],2,FALSE)</f>
        <v>4</v>
      </c>
      <c r="D3" t="s">
        <v>87</v>
      </c>
      <c r="E3">
        <f>IF(Table515242730[[#This Row],[Proficiency?]]="No",Table515242730[[#This Row],[Modifiers]],VLOOKUP($F$16,Proficiency[],2,FALSE)+Table515242730[[#This Row],[Modifiers]])</f>
        <v>4</v>
      </c>
      <c r="H3" t="s">
        <v>137</v>
      </c>
      <c r="I3" t="s">
        <v>184</v>
      </c>
      <c r="O3" t="s">
        <v>152</v>
      </c>
    </row>
    <row r="4" spans="1:16" x14ac:dyDescent="0.35">
      <c r="A4" t="s">
        <v>2</v>
      </c>
      <c r="B4">
        <v>14</v>
      </c>
      <c r="C4">
        <f>VLOOKUP(Table515242730[[#This Row],[Score]],Modifier[],2,FALSE)</f>
        <v>2</v>
      </c>
      <c r="D4" t="s">
        <v>86</v>
      </c>
      <c r="E4">
        <f>IF(Table515242730[[#This Row],[Proficiency?]]="No",Table515242730[[#This Row],[Modifiers]],VLOOKUP($F$16,Proficiency[],2,FALSE)+Table515242730[[#This Row],[Modifiers]])</f>
        <v>10</v>
      </c>
      <c r="H4" t="s">
        <v>138</v>
      </c>
      <c r="I4" t="s">
        <v>185</v>
      </c>
      <c r="O4" t="s">
        <v>153</v>
      </c>
    </row>
    <row r="5" spans="1:16" x14ac:dyDescent="0.35">
      <c r="A5" t="s">
        <v>3</v>
      </c>
      <c r="B5">
        <v>20</v>
      </c>
      <c r="C5">
        <f>VLOOKUP(Table515242730[[#This Row],[Score]],Modifier[],2,FALSE)</f>
        <v>5</v>
      </c>
      <c r="D5" t="s">
        <v>86</v>
      </c>
      <c r="E5">
        <f>IF(Table515242730[[#This Row],[Proficiency?]]="No",Table515242730[[#This Row],[Modifiers]],VLOOKUP($F$16,Proficiency[],2,FALSE)+Table515242730[[#This Row],[Modifiers]])</f>
        <v>13</v>
      </c>
      <c r="H5" t="s">
        <v>186</v>
      </c>
      <c r="O5" t="s">
        <v>154</v>
      </c>
    </row>
    <row r="6" spans="1:16" x14ac:dyDescent="0.35">
      <c r="A6" t="s">
        <v>4</v>
      </c>
      <c r="B6">
        <v>11</v>
      </c>
      <c r="C6">
        <f>VLOOKUP(Table515242730[[#This Row],[Score]],Modifier[],2,FALSE)</f>
        <v>0</v>
      </c>
      <c r="D6" t="s">
        <v>86</v>
      </c>
      <c r="E6">
        <f>IF(Table515242730[[#This Row],[Proficiency?]]="No",Table515242730[[#This Row],[Modifiers]],VLOOKUP($F$16,Proficiency[],2,FALSE)+Table515242730[[#This Row],[Modifiers]])</f>
        <v>8</v>
      </c>
      <c r="H6" t="s">
        <v>139</v>
      </c>
      <c r="I6" t="s">
        <v>187</v>
      </c>
      <c r="O6" t="s">
        <v>155</v>
      </c>
    </row>
    <row r="7" spans="1:16" x14ac:dyDescent="0.35">
      <c r="A7" t="s">
        <v>5</v>
      </c>
      <c r="B7">
        <v>14</v>
      </c>
      <c r="C7">
        <f>VLOOKUP(Table515242730[[#This Row],[Score]],Modifier[],2,FALSE)</f>
        <v>2</v>
      </c>
      <c r="D7" t="s">
        <v>86</v>
      </c>
      <c r="E7">
        <f>IF(Table515242730[[#This Row],[Proficiency?]]="No",Table515242730[[#This Row],[Modifiers]],VLOOKUP($F$16,Proficiency[],2,FALSE)+Table515242730[[#This Row],[Modifiers]])</f>
        <v>10</v>
      </c>
      <c r="H7" t="s">
        <v>140</v>
      </c>
      <c r="I7" t="s">
        <v>188</v>
      </c>
      <c r="O7" t="s">
        <v>154</v>
      </c>
    </row>
    <row r="8" spans="1:16" x14ac:dyDescent="0.35">
      <c r="H8" t="s">
        <v>141</v>
      </c>
      <c r="I8" t="s">
        <v>189</v>
      </c>
      <c r="O8" t="s">
        <v>156</v>
      </c>
    </row>
    <row r="9" spans="1:16" x14ac:dyDescent="0.35">
      <c r="H9" s="18"/>
      <c r="I9" t="s">
        <v>245</v>
      </c>
    </row>
    <row r="10" spans="1:16" x14ac:dyDescent="0.35">
      <c r="A10" t="s">
        <v>90</v>
      </c>
      <c r="B10" t="s">
        <v>91</v>
      </c>
      <c r="C10" t="s">
        <v>13</v>
      </c>
      <c r="E10" t="s">
        <v>116</v>
      </c>
      <c r="F10" s="9" t="s">
        <v>86</v>
      </c>
      <c r="O10" s="1" t="s">
        <v>157</v>
      </c>
      <c r="P10" s="1" t="s">
        <v>135</v>
      </c>
    </row>
    <row r="11" spans="1:16" x14ac:dyDescent="0.35">
      <c r="A11" t="s">
        <v>94</v>
      </c>
      <c r="B11" t="s">
        <v>84</v>
      </c>
      <c r="C11">
        <f>VLOOKUP(VLOOKUP(Table916252831[[#This Row],[Skills]],Table10[],2,FALSE),Table5[[Ability]:[Modifiers]],3,FALSE)+VLOOKUP(Table916252831[[#This Row],[Proficiency Level]],Table11[],3,FALSE)</f>
        <v>14</v>
      </c>
      <c r="E11" t="s">
        <v>117</v>
      </c>
      <c r="F11" s="9" t="s">
        <v>48</v>
      </c>
      <c r="H11" s="1" t="s">
        <v>142</v>
      </c>
      <c r="I11" s="1" t="s">
        <v>135</v>
      </c>
      <c r="O11" t="s">
        <v>158</v>
      </c>
    </row>
    <row r="12" spans="1:16" x14ac:dyDescent="0.35">
      <c r="A12" t="s">
        <v>95</v>
      </c>
      <c r="B12" t="s">
        <v>92</v>
      </c>
      <c r="C12">
        <f>VLOOKUP(VLOOKUP(Table916252831[[#This Row],[Skills]],Table10[],2,FALSE),Table5[[Ability]:[Modifiers]],3,FALSE)+VLOOKUP(Table916252831[[#This Row],[Proficiency Level]],Table11[],3,FALSE)</f>
        <v>0</v>
      </c>
      <c r="E12" t="s">
        <v>122</v>
      </c>
      <c r="F12" s="10">
        <f>IF(ISNUMBER(VLOOKUP('Conclave Dryad'!F11,Table12[],3,FALSE))=FALSE,IF(VLOOKUP('Conclave Dryad'!F11,Table12[],3,FALSE)="Yes",'Conclave Dryad'!$C$3,0),VLOOKUP('Conclave Dryad'!F11,Table12[],3,FALSE))</f>
        <v>4</v>
      </c>
      <c r="H12" t="s">
        <v>143</v>
      </c>
      <c r="I12" t="s">
        <v>183</v>
      </c>
      <c r="O12" t="s">
        <v>159</v>
      </c>
    </row>
    <row r="13" spans="1:16" x14ac:dyDescent="0.35">
      <c r="A13" t="s">
        <v>96</v>
      </c>
      <c r="B13" t="s">
        <v>84</v>
      </c>
      <c r="C13">
        <f>VLOOKUP(VLOOKUP(Table916252831[[#This Row],[Skills]],Table10[],2,FALSE),Table5[[Ability]:[Modifiers]],3,FALSE)+VLOOKUP(Table916252831[[#This Row],[Proficiency Level]],Table11[],3,FALSE)</f>
        <v>14</v>
      </c>
      <c r="E13" t="s">
        <v>123</v>
      </c>
      <c r="F13" s="9">
        <v>1</v>
      </c>
      <c r="H13" t="s">
        <v>144</v>
      </c>
      <c r="I13" t="s">
        <v>190</v>
      </c>
      <c r="O13" t="s">
        <v>160</v>
      </c>
    </row>
    <row r="14" spans="1:16" x14ac:dyDescent="0.35">
      <c r="A14" t="s">
        <v>97</v>
      </c>
      <c r="B14" t="s">
        <v>92</v>
      </c>
      <c r="C14">
        <f>VLOOKUP(VLOOKUP(Table916252831[[#This Row],[Skills]],Table10[],2,FALSE),Table5[[Ability]:[Modifiers]],3,FALSE)+VLOOKUP(Table916252831[[#This Row],[Proficiency Level]],Table11[],3,FALSE)</f>
        <v>0</v>
      </c>
      <c r="H14" t="s">
        <v>145</v>
      </c>
      <c r="I14" t="s">
        <v>191</v>
      </c>
      <c r="O14" t="s">
        <v>161</v>
      </c>
    </row>
    <row r="15" spans="1:16" x14ac:dyDescent="0.35">
      <c r="A15" t="s">
        <v>98</v>
      </c>
      <c r="B15" t="s">
        <v>84</v>
      </c>
      <c r="C15">
        <f>VLOOKUP(VLOOKUP(Table916252831[[#This Row],[Skills]],Table10[],2,FALSE),Table5[[Ability]:[Modifiers]],3,FALSE)+VLOOKUP(Table916252831[[#This Row],[Proficiency Level]],Table11[],3,FALSE)</f>
        <v>11</v>
      </c>
      <c r="H15" t="s">
        <v>146</v>
      </c>
      <c r="I15" t="s">
        <v>192</v>
      </c>
      <c r="O15" t="s">
        <v>162</v>
      </c>
    </row>
    <row r="16" spans="1:16" x14ac:dyDescent="0.35">
      <c r="A16" t="s">
        <v>99</v>
      </c>
      <c r="B16" t="s">
        <v>92</v>
      </c>
      <c r="C16">
        <f>VLOOKUP(VLOOKUP(Table916252831[[#This Row],[Skills]],Table10[],2,FALSE),Table5[[Ability]:[Modifiers]],3,FALSE)+VLOOKUP(Table916252831[[#This Row],[Proficiency Level]],Table11[],3,FALSE)</f>
        <v>5</v>
      </c>
      <c r="E16" s="1" t="s">
        <v>88</v>
      </c>
      <c r="F16" s="9">
        <v>30</v>
      </c>
      <c r="H16" t="s">
        <v>147</v>
      </c>
      <c r="O16" t="s">
        <v>163</v>
      </c>
    </row>
    <row r="17" spans="1:21" x14ac:dyDescent="0.35">
      <c r="A17" t="s">
        <v>100</v>
      </c>
      <c r="B17" t="s">
        <v>84</v>
      </c>
      <c r="C17">
        <f>VLOOKUP(VLOOKUP(Table916252831[[#This Row],[Skills]],Table10[],2,FALSE),Table5[[Ability]:[Modifiers]],3,FALSE)+VLOOKUP(Table916252831[[#This Row],[Proficiency Level]],Table11[],3,FALSE)</f>
        <v>9</v>
      </c>
      <c r="E17" s="1" t="s">
        <v>115</v>
      </c>
      <c r="F17" s="10">
        <f>IF('Conclave Dryad'!F10="Yes",VLOOKUP(F11,Table12[],2,FALSE)+'Conclave Dryad'!F12+2+F13,VLOOKUP(F11,Table12[],2,FALSE)+'Conclave Dryad'!F12+F13)+SUM(Table558687899091[Applied AC Bonus])</f>
        <v>20</v>
      </c>
      <c r="H17" t="s">
        <v>148</v>
      </c>
      <c r="O17" t="s">
        <v>164</v>
      </c>
    </row>
    <row r="18" spans="1:21" x14ac:dyDescent="0.35">
      <c r="A18" t="s">
        <v>101</v>
      </c>
      <c r="B18" t="s">
        <v>92</v>
      </c>
      <c r="C18">
        <f>VLOOKUP(VLOOKUP(Table916252831[[#This Row],[Skills]],Table10[],2,FALSE),Table5[[Ability]:[Modifiers]],3,FALSE)+VLOOKUP(Table916252831[[#This Row],[Proficiency Level]],Table11[],3,FALSE)</f>
        <v>2</v>
      </c>
      <c r="E18" s="1" t="s">
        <v>132</v>
      </c>
      <c r="F18" s="12">
        <f>SUM(Table1317262932[[Average ]])</f>
        <v>314.5</v>
      </c>
      <c r="H18" t="s">
        <v>179</v>
      </c>
      <c r="O18" t="s">
        <v>165</v>
      </c>
      <c r="P18" t="s">
        <v>198</v>
      </c>
    </row>
    <row r="19" spans="1:21" x14ac:dyDescent="0.35">
      <c r="A19" t="s">
        <v>102</v>
      </c>
      <c r="B19" t="s">
        <v>92</v>
      </c>
      <c r="C19">
        <f>VLOOKUP(VLOOKUP(Table916252831[[#This Row],[Skills]],Table10[],2,FALSE),Table5[[Ability]:[Modifiers]],3,FALSE)+VLOOKUP(Table916252831[[#This Row],[Proficiency Level]],Table11[],3,FALSE)</f>
        <v>5</v>
      </c>
      <c r="E19" s="1" t="s">
        <v>178</v>
      </c>
      <c r="F19" s="10">
        <f>8+VLOOKUP("Intelligence",Table515242730[],3,FALSE)+VLOOKUP(F16,Proficiency[],2,FALSE)</f>
        <v>21</v>
      </c>
      <c r="H19" t="s">
        <v>180</v>
      </c>
      <c r="O19" t="s">
        <v>166</v>
      </c>
    </row>
    <row r="20" spans="1:21" x14ac:dyDescent="0.35">
      <c r="A20" t="s">
        <v>103</v>
      </c>
      <c r="B20" t="s">
        <v>92</v>
      </c>
      <c r="C20">
        <f>VLOOKUP(VLOOKUP(Table916252831[[#This Row],[Skills]],Table10[],2,FALSE),Table5[[Ability]:[Modifiers]],3,FALSE)+VLOOKUP(Table916252831[[#This Row],[Proficiency Level]],Table11[],3,FALSE)</f>
        <v>0</v>
      </c>
      <c r="H20" t="s">
        <v>181</v>
      </c>
      <c r="O20" s="18"/>
    </row>
    <row r="21" spans="1:21" x14ac:dyDescent="0.35">
      <c r="A21" t="s">
        <v>104</v>
      </c>
      <c r="B21" t="s">
        <v>84</v>
      </c>
      <c r="C21">
        <f>VLOOKUP(VLOOKUP(Table916252831[[#This Row],[Skills]],Table10[],2,FALSE),Table5[[Ability]:[Modifiers]],3,FALSE)+VLOOKUP(Table916252831[[#This Row],[Proficiency Level]],Table11[],3,FALSE)</f>
        <v>14</v>
      </c>
      <c r="E21" s="14" t="s">
        <v>209</v>
      </c>
      <c r="F21" s="10">
        <f>10+C22</f>
        <v>19</v>
      </c>
      <c r="H21" s="19" t="s">
        <v>265</v>
      </c>
    </row>
    <row r="22" spans="1:21" x14ac:dyDescent="0.35">
      <c r="A22" t="s">
        <v>105</v>
      </c>
      <c r="B22" t="s">
        <v>84</v>
      </c>
      <c r="C22">
        <f>VLOOKUP(VLOOKUP(Table916252831[[#This Row],[Skills]],Table10[],2,FALSE),Table5[[Ability]:[Modifiers]],3,FALSE)+VLOOKUP(Table916252831[[#This Row],[Proficiency Level]],Table11[],3,FALSE)</f>
        <v>9</v>
      </c>
      <c r="H22" s="19" t="s">
        <v>266</v>
      </c>
    </row>
    <row r="23" spans="1:21" x14ac:dyDescent="0.35">
      <c r="A23" t="s">
        <v>106</v>
      </c>
      <c r="B23" t="s">
        <v>92</v>
      </c>
      <c r="C23">
        <f>VLOOKUP(VLOOKUP(Table916252831[[#This Row],[Skills]],Table10[],2,FALSE),Table5[[Ability]:[Modifiers]],3,FALSE)+VLOOKUP(Table916252831[[#This Row],[Proficiency Level]],Table11[],3,FALSE)</f>
        <v>2</v>
      </c>
      <c r="H23" s="19" t="s">
        <v>241</v>
      </c>
    </row>
    <row r="24" spans="1:21" x14ac:dyDescent="0.35">
      <c r="A24" t="s">
        <v>107</v>
      </c>
      <c r="B24" t="s">
        <v>92</v>
      </c>
      <c r="C24">
        <f>VLOOKUP(VLOOKUP(Table916252831[[#This Row],[Skills]],Table10[],2,FALSE),Table5[[Ability]:[Modifiers]],3,FALSE)+VLOOKUP(Table916252831[[#This Row],[Proficiency Level]],Table11[],3,FALSE)</f>
        <v>2</v>
      </c>
      <c r="H24" s="19" t="s">
        <v>267</v>
      </c>
    </row>
    <row r="25" spans="1:21" x14ac:dyDescent="0.35">
      <c r="A25" t="s">
        <v>108</v>
      </c>
      <c r="B25" t="s">
        <v>92</v>
      </c>
      <c r="C25">
        <f>VLOOKUP(VLOOKUP(Table916252831[[#This Row],[Skills]],Table10[],2,FALSE),Table5[[Ability]:[Modifiers]],3,FALSE)+VLOOKUP(Table916252831[[#This Row],[Proficiency Level]],Table11[],3,FALSE)</f>
        <v>5</v>
      </c>
    </row>
    <row r="26" spans="1:21" x14ac:dyDescent="0.35">
      <c r="A26" t="s">
        <v>109</v>
      </c>
      <c r="B26" t="s">
        <v>92</v>
      </c>
      <c r="C26">
        <f>VLOOKUP(VLOOKUP(Table916252831[[#This Row],[Skills]],Table10[],2,FALSE),Table5[[Ability]:[Modifiers]],3,FALSE)+VLOOKUP(Table916252831[[#This Row],[Proficiency Level]],Table11[],3,FALSE)</f>
        <v>5</v>
      </c>
      <c r="H26" s="1" t="s">
        <v>199</v>
      </c>
    </row>
    <row r="27" spans="1:21" x14ac:dyDescent="0.35">
      <c r="A27" t="s">
        <v>110</v>
      </c>
      <c r="B27" t="s">
        <v>93</v>
      </c>
      <c r="C27">
        <f>VLOOKUP(VLOOKUP(Table916252831[[#This Row],[Skills]],Table10[],2,FALSE),Table5[[Ability]:[Modifiers]],3,FALSE)+VLOOKUP(Table916252831[[#This Row],[Proficiency Level]],Table11[],3,FALSE)</f>
        <v>23</v>
      </c>
      <c r="H27" s="18" t="s">
        <v>263</v>
      </c>
    </row>
    <row r="28" spans="1:21" x14ac:dyDescent="0.35">
      <c r="A28" t="s">
        <v>111</v>
      </c>
      <c r="B28" t="s">
        <v>92</v>
      </c>
      <c r="C28">
        <f>VLOOKUP(VLOOKUP(Table916252831[[#This Row],[Skills]],Table10[],2,FALSE),Table5[[Ability]:[Modifiers]],3,FALSE)+VLOOKUP(Table916252831[[#This Row],[Proficiency Level]],Table11[],3,FALSE)</f>
        <v>0</v>
      </c>
      <c r="H28" s="18" t="s">
        <v>264</v>
      </c>
    </row>
    <row r="29" spans="1:21" x14ac:dyDescent="0.35">
      <c r="H29" s="18"/>
    </row>
    <row r="30" spans="1:21" x14ac:dyDescent="0.35">
      <c r="F30" s="33" t="s">
        <v>513</v>
      </c>
      <c r="G30" s="33" t="s">
        <v>516</v>
      </c>
      <c r="H30" s="33" t="s">
        <v>81</v>
      </c>
      <c r="I30" s="33" t="s">
        <v>514</v>
      </c>
      <c r="J30" s="33" t="s">
        <v>515</v>
      </c>
      <c r="K30" s="33" t="s">
        <v>178</v>
      </c>
      <c r="L30" s="33" t="s">
        <v>351</v>
      </c>
      <c r="M30" s="33" t="s">
        <v>312</v>
      </c>
      <c r="N30" s="33" t="s">
        <v>314</v>
      </c>
      <c r="O30" s="33" t="s">
        <v>522</v>
      </c>
      <c r="P30" s="33" t="s">
        <v>523</v>
      </c>
      <c r="Q30" s="33" t="s">
        <v>524</v>
      </c>
      <c r="R30" s="33" t="s">
        <v>525</v>
      </c>
      <c r="S30" s="33" t="s">
        <v>320</v>
      </c>
      <c r="T30" s="33" t="s">
        <v>319</v>
      </c>
      <c r="U30" s="41" t="s">
        <v>517</v>
      </c>
    </row>
    <row r="31" spans="1:21" x14ac:dyDescent="0.35">
      <c r="A31" t="s">
        <v>124</v>
      </c>
      <c r="B31" t="s">
        <v>125</v>
      </c>
      <c r="C31" t="s">
        <v>130</v>
      </c>
      <c r="D31" t="s">
        <v>133</v>
      </c>
      <c r="F31" t="s">
        <v>538</v>
      </c>
      <c r="G31" t="s">
        <v>519</v>
      </c>
      <c r="H31" t="s">
        <v>3</v>
      </c>
      <c r="I31">
        <f>VLOOKUP(Table73[[#This Row],[Ability Score]],Table515242730[[Ability]:[Modifiers]],3,FALSE)+VLOOKUP($F$16,Proficiency[],2,FALSE)</f>
        <v>13</v>
      </c>
      <c r="L31">
        <v>2</v>
      </c>
      <c r="M31">
        <v>6</v>
      </c>
      <c r="N31">
        <f>VLOOKUP(Table73[[#This Row],[Ability Score]],Table515242730[[Ability]:[Modifiers]],3,FALSE)</f>
        <v>5</v>
      </c>
      <c r="Q31" t="s">
        <v>1</v>
      </c>
      <c r="R31">
        <f>8+Table73[[#This Row],[Bonus Damage]]+VLOOKUP($F$16,Proficiency[],2,FALSE)</f>
        <v>21</v>
      </c>
      <c r="S31">
        <f>((Table73[[#This Row],[Damage Dice]]/2)*Table73[[#This Row],['# Dice]])+(Table73[[#This Row],[Bonus Damage Dice]]/2)*Table73[[#This Row],[Bonus '# Dice]]+Table73[[#This Row],[Bonus Damage]]</f>
        <v>11</v>
      </c>
      <c r="T31">
        <v>5</v>
      </c>
      <c r="U31" t="s">
        <v>365</v>
      </c>
    </row>
    <row r="32" spans="1:21" x14ac:dyDescent="0.35">
      <c r="A32" t="s">
        <v>126</v>
      </c>
      <c r="B32">
        <v>6</v>
      </c>
      <c r="C32">
        <v>20</v>
      </c>
      <c r="D32">
        <f>(((Table1317262932[[#This Row],[Hit Dice]]/2)+0.5)+VLOOKUP("Constitution",Table515242730[[Ability]:[Modifiers]],3,FALSE))*Table1317262932[[#This Row],[Levels]]</f>
        <v>110</v>
      </c>
      <c r="F32" t="s">
        <v>329</v>
      </c>
      <c r="G32" t="s">
        <v>519</v>
      </c>
      <c r="H32" t="s">
        <v>1</v>
      </c>
      <c r="I32">
        <f>VLOOKUP(Table73[[#This Row],[Ability Score]],Table515242730[[Ability]:[Modifiers]],3,FALSE)+VLOOKUP($F$16,Proficiency[],2,FALSE)</f>
        <v>12</v>
      </c>
      <c r="L32">
        <v>1</v>
      </c>
      <c r="M32">
        <v>8</v>
      </c>
      <c r="N32">
        <f>VLOOKUP(Table73[[#This Row],[Ability Score]],Table515242730[[Ability]:[Modifiers]],3,FALSE)</f>
        <v>4</v>
      </c>
      <c r="S32">
        <f>((Table73[[#This Row],[Damage Dice]]/2)*Table73[[#This Row],['# Dice]])+(Table73[[#This Row],[Bonus Damage Dice]]/2)*Table73[[#This Row],[Bonus '# Dice]]+Table73[[#This Row],[Bonus Damage]]</f>
        <v>8</v>
      </c>
      <c r="T32">
        <v>150</v>
      </c>
    </row>
    <row r="33" spans="1:19" x14ac:dyDescent="0.35">
      <c r="A33" t="s">
        <v>127</v>
      </c>
      <c r="B33">
        <v>10</v>
      </c>
      <c r="C33">
        <v>3</v>
      </c>
      <c r="D33" s="11">
        <f>(((Table1317262932[[#This Row],[Hit Dice]]/2)+0.5)+VLOOKUP("Constitution",Table515242730[[Ability]:[Modifiers]],3,FALSE))*Table1317262932[[#This Row],[Levels]]</f>
        <v>22.5</v>
      </c>
      <c r="I33" t="e">
        <f>VLOOKUP(Table73[[#This Row],[Ability Score]],Table515242730[[Ability]:[Modifiers]],3,FALSE)+VLOOKUP($F$16,Proficiency[],2,FALSE)</f>
        <v>#N/A</v>
      </c>
      <c r="N33" t="e">
        <f>VLOOKUP(Table73[[#This Row],[Ability Score]],Table515242730[[Ability]:[Modifiers]],3,FALSE)</f>
        <v>#N/A</v>
      </c>
      <c r="S33" t="e">
        <f>((Table73[[#This Row],[Damage Dice]]/2)*Table73[[#This Row],['# Dice]])+(Table73[[#This Row],[Bonus Damage Dice]]/2)*Table73[[#This Row],[Bonus '# Dice]]+Table73[[#This Row],[Bonus Damage]]</f>
        <v>#N/A</v>
      </c>
    </row>
    <row r="34" spans="1:19" x14ac:dyDescent="0.35">
      <c r="A34" t="s">
        <v>128</v>
      </c>
      <c r="B34">
        <v>6</v>
      </c>
      <c r="C34">
        <v>3</v>
      </c>
      <c r="D34" s="11">
        <f>(((Table1317262932[[#This Row],[Hit Dice]]/2)+0.5)+VLOOKUP("Constitution",Table515242730[[Ability]:[Modifiers]],3,FALSE))*Table1317262932[[#This Row],[Levels]]</f>
        <v>16.5</v>
      </c>
      <c r="I34" t="e">
        <f>VLOOKUP(Table73[[#This Row],[Ability Score]],Table515242730[[Ability]:[Modifiers]],3,FALSE)+VLOOKUP($F$16,Proficiency[],2,FALSE)</f>
        <v>#N/A</v>
      </c>
      <c r="N34" t="e">
        <f>VLOOKUP(Table73[[#This Row],[Ability Score]],Table515242730[[Ability]:[Modifiers]],3,FALSE)</f>
        <v>#N/A</v>
      </c>
      <c r="S34" t="e">
        <f>((Table73[[#This Row],[Damage Dice]]/2)*Table73[[#This Row],['# Dice]])+(Table73[[#This Row],[Bonus Damage Dice]]/2)*Table73[[#This Row],[Bonus '# Dice]]+Table73[[#This Row],[Bonus Damage]]</f>
        <v>#N/A</v>
      </c>
    </row>
    <row r="35" spans="1:19" x14ac:dyDescent="0.35">
      <c r="A35" t="s">
        <v>129</v>
      </c>
      <c r="B35">
        <v>10</v>
      </c>
      <c r="C35">
        <v>3</v>
      </c>
      <c r="D35" s="11">
        <f>(((Table1317262932[[#This Row],[Hit Dice]]/2)+0.5)+VLOOKUP("Constitution",Table515242730[[Ability]:[Modifiers]],3,FALSE))*Table1317262932[[#This Row],[Levels]]</f>
        <v>22.5</v>
      </c>
    </row>
    <row r="36" spans="1:19" x14ac:dyDescent="0.35">
      <c r="A36" t="s">
        <v>55</v>
      </c>
      <c r="B36">
        <v>8</v>
      </c>
      <c r="C36">
        <v>22</v>
      </c>
      <c r="D36" s="11">
        <f>(((Table1317262932[[#This Row],[Hit Dice]]/2)+0.5)+VLOOKUP("Constitution",Table515242730[[Ability]:[Modifiers]],3,FALSE))*Table1317262932[[#This Row],[Levels]]</f>
        <v>143</v>
      </c>
    </row>
    <row r="37" spans="1:19" x14ac:dyDescent="0.35">
      <c r="F37" t="s">
        <v>628</v>
      </c>
    </row>
    <row r="38" spans="1:19" x14ac:dyDescent="0.35">
      <c r="A38" s="13" t="s">
        <v>167</v>
      </c>
      <c r="F38" s="1" t="s">
        <v>631</v>
      </c>
      <c r="G38" s="1" t="s">
        <v>498</v>
      </c>
      <c r="H38" s="1" t="s">
        <v>629</v>
      </c>
      <c r="I38" s="1" t="s">
        <v>634</v>
      </c>
    </row>
    <row r="39" spans="1:19" x14ac:dyDescent="0.35">
      <c r="A39" s="1" t="s">
        <v>50</v>
      </c>
      <c r="B39" s="1" t="s">
        <v>171</v>
      </c>
      <c r="F39" s="9" t="s">
        <v>87</v>
      </c>
      <c r="G39" t="s">
        <v>630</v>
      </c>
      <c r="H39">
        <v>2</v>
      </c>
      <c r="I39" t="str">
        <f>IF(Table558687899091[[#This Row],[Active]]="Yes",Table558687899091[[#This Row],[AC Bonus]],"")</f>
        <v/>
      </c>
    </row>
    <row r="40" spans="1:19" x14ac:dyDescent="0.35">
      <c r="A40">
        <v>1</v>
      </c>
      <c r="B40" t="s">
        <v>47</v>
      </c>
      <c r="F40" s="9" t="s">
        <v>87</v>
      </c>
      <c r="G40" t="s">
        <v>632</v>
      </c>
      <c r="H40">
        <v>2</v>
      </c>
      <c r="I40" t="str">
        <f>IF(Table558687899091[[#This Row],[Active]]="Yes",Table558687899091[[#This Row],[AC Bonus]],"")</f>
        <v/>
      </c>
    </row>
    <row r="41" spans="1:19" x14ac:dyDescent="0.35">
      <c r="A41">
        <v>1</v>
      </c>
      <c r="B41" t="s">
        <v>170</v>
      </c>
      <c r="F41" s="9" t="s">
        <v>87</v>
      </c>
      <c r="G41" t="s">
        <v>633</v>
      </c>
      <c r="H41">
        <v>1</v>
      </c>
      <c r="I41" t="str">
        <f>IF(Table558687899091[[#This Row],[Active]]="Yes",Table558687899091[[#This Row],[AC Bonus]],"")</f>
        <v/>
      </c>
    </row>
    <row r="42" spans="1:19" x14ac:dyDescent="0.35">
      <c r="A42">
        <v>2</v>
      </c>
      <c r="B42" t="s">
        <v>168</v>
      </c>
      <c r="F42" s="9" t="s">
        <v>87</v>
      </c>
      <c r="G42" t="s">
        <v>44</v>
      </c>
      <c r="H42">
        <v>2</v>
      </c>
      <c r="I42" t="str">
        <f>IF(Table558687899091[[#This Row],[Active]]="Yes",Table558687899091[[#This Row],[AC Bonus]],"")</f>
        <v/>
      </c>
    </row>
    <row r="43" spans="1:19" x14ac:dyDescent="0.35">
      <c r="A43">
        <v>2</v>
      </c>
      <c r="B43" t="s">
        <v>169</v>
      </c>
      <c r="F43" s="54" t="s">
        <v>87</v>
      </c>
      <c r="G43" s="38" t="s">
        <v>160</v>
      </c>
      <c r="H43" s="38">
        <v>5</v>
      </c>
      <c r="I43" s="55" t="str">
        <f>IF(Table558687899091[[#This Row],[Active]]="Yes",Table558687899091[[#This Row],[AC Bonus]],"")</f>
        <v/>
      </c>
    </row>
    <row r="44" spans="1:19" x14ac:dyDescent="0.35">
      <c r="F44" s="54"/>
      <c r="G44" s="38" t="s">
        <v>658</v>
      </c>
      <c r="H44" s="38">
        <v>2</v>
      </c>
      <c r="I44" s="55" t="str">
        <f>IF(Table558687899091[[#This Row],[Active]]="Yes",Table558687899091[[#This Row],[AC Bonus]],"")</f>
        <v/>
      </c>
    </row>
    <row r="45" spans="1:19" x14ac:dyDescent="0.35">
      <c r="A45" s="13" t="s">
        <v>172</v>
      </c>
      <c r="F45" s="54"/>
      <c r="G45" s="38" t="s">
        <v>659</v>
      </c>
      <c r="H45" s="38">
        <v>5</v>
      </c>
      <c r="I45" s="55" t="str">
        <f>IF(Table558687899091[[#This Row],[Active]]="Yes",Table558687899091[[#This Row],[AC Bonus]],"")</f>
        <v/>
      </c>
    </row>
    <row r="46" spans="1:19" x14ac:dyDescent="0.35">
      <c r="A46" s="1" t="s">
        <v>50</v>
      </c>
      <c r="B46" s="1" t="s">
        <v>171</v>
      </c>
    </row>
    <row r="47" spans="1:19" x14ac:dyDescent="0.35">
      <c r="A47">
        <v>1</v>
      </c>
      <c r="B47" t="s">
        <v>173</v>
      </c>
    </row>
    <row r="48" spans="1:19" x14ac:dyDescent="0.35">
      <c r="A48">
        <v>1</v>
      </c>
      <c r="B48" t="s">
        <v>49</v>
      </c>
    </row>
    <row r="49" spans="1:2" x14ac:dyDescent="0.35">
      <c r="A49">
        <v>1</v>
      </c>
      <c r="B49" t="s">
        <v>174</v>
      </c>
    </row>
    <row r="50" spans="1:2" x14ac:dyDescent="0.35">
      <c r="A50">
        <v>1</v>
      </c>
      <c r="B50" t="s">
        <v>175</v>
      </c>
    </row>
    <row r="51" spans="1:2" x14ac:dyDescent="0.35">
      <c r="A51">
        <v>1</v>
      </c>
      <c r="B51" t="s">
        <v>47</v>
      </c>
    </row>
    <row r="52" spans="1:2" x14ac:dyDescent="0.35">
      <c r="A52">
        <v>1</v>
      </c>
      <c r="B52" t="s">
        <v>176</v>
      </c>
    </row>
    <row r="54" spans="1:2" x14ac:dyDescent="0.35">
      <c r="A54" s="13" t="s">
        <v>262</v>
      </c>
    </row>
    <row r="55" spans="1:2" x14ac:dyDescent="0.35">
      <c r="A55" s="1"/>
      <c r="B55" s="1"/>
    </row>
    <row r="60" spans="1:2" x14ac:dyDescent="0.35">
      <c r="A60" s="13"/>
    </row>
    <row r="61" spans="1:2" x14ac:dyDescent="0.35">
      <c r="A61" s="1"/>
      <c r="B61" s="1"/>
    </row>
  </sheetData>
  <pageMargins left="0.7" right="0.7" top="0.75" bottom="0.75" header="0.3" footer="0.3"/>
  <pageSetup orientation="portrait" r:id="rId1"/>
  <tableParts count="5">
    <tablePart r:id="rId2"/>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34F2C62F-FCD3-4E4F-A336-2CBCA5A1E5BA}">
          <x14:formula1>
            <xm:f>'Rules of the Game'!$D$1:$D$2</xm:f>
          </x14:formula1>
          <xm:sqref>D2:D7 F10 F39:F45</xm:sqref>
        </x14:dataValidation>
        <x14:dataValidation type="list" allowBlank="1" showInputMessage="1" showErrorMessage="1" xr:uid="{1ADB762F-888E-4E76-98FA-912BF7B9C335}">
          <x14:formula1>
            <xm:f>'Rules of the Game'!$D$4:$D$6</xm:f>
          </x14:formula1>
          <xm:sqref>B11:B28</xm:sqref>
        </x14:dataValidation>
        <x14:dataValidation type="list" allowBlank="1" showInputMessage="1" showErrorMessage="1" xr:uid="{74DCFBA1-794C-4815-A8C1-FD435C30FF17}">
          <x14:formula1>
            <xm:f>'Rules of the Game'!$D$42:$D$53</xm:f>
          </x14:formula1>
          <xm:sqref>F11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28E04-FDEB-484B-96C2-A01659805E16}">
  <sheetPr codeName="Sheet10"/>
  <dimension ref="A1:X61"/>
  <sheetViews>
    <sheetView topLeftCell="A5" zoomScale="92" zoomScaleNormal="100" workbookViewId="0">
      <selection activeCell="I44" sqref="I44"/>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21.54296875" bestFit="1" customWidth="1"/>
    <col min="8" max="8" width="27.1796875" bestFit="1" customWidth="1"/>
    <col min="9" max="9" width="12.54296875" customWidth="1"/>
    <col min="10" max="10" width="18" customWidth="1"/>
    <col min="11" max="11" width="12.81640625" customWidth="1"/>
    <col min="12" max="12" width="12.54296875" customWidth="1"/>
    <col min="13" max="13" width="10.7265625" customWidth="1"/>
    <col min="14" max="14" width="9.1796875" customWidth="1"/>
    <col min="15" max="15" width="27.1796875" bestFit="1" customWidth="1"/>
    <col min="16" max="16" width="13.26953125" customWidth="1"/>
    <col min="17" max="17" width="14.81640625" customWidth="1"/>
    <col min="18" max="18" width="13.1796875" customWidth="1"/>
    <col min="19" max="19" width="18.81640625" customWidth="1"/>
    <col min="20" max="20" width="19.7265625" customWidth="1"/>
    <col min="21" max="21" width="18.1796875" customWidth="1"/>
    <col min="22" max="22" width="16.54296875" customWidth="1"/>
    <col min="24" max="24" width="15.1796875" bestFit="1"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27</v>
      </c>
      <c r="C2">
        <f>VLOOKUP(Table51524273033[[#This Row],[Score]],Modifier[],2,FALSE)</f>
        <v>8</v>
      </c>
      <c r="D2" t="s">
        <v>87</v>
      </c>
      <c r="E2">
        <f>IF(Table51524273033[[#This Row],[Proficiency?]]="No",Table51524273033[[#This Row],[Modifiers]],VLOOKUP($F$16,Proficiency[],2,FALSE)+Table51524273033[[#This Row],[Modifiers]])</f>
        <v>8</v>
      </c>
      <c r="H2" t="s">
        <v>136</v>
      </c>
      <c r="I2" t="s">
        <v>177</v>
      </c>
      <c r="O2" t="s">
        <v>151</v>
      </c>
      <c r="P2" t="s">
        <v>182</v>
      </c>
    </row>
    <row r="3" spans="1:16" x14ac:dyDescent="0.35">
      <c r="A3" t="s">
        <v>1</v>
      </c>
      <c r="B3">
        <v>7</v>
      </c>
      <c r="C3">
        <f>VLOOKUP(Table51524273033[[#This Row],[Score]],Modifier[],2,FALSE)</f>
        <v>-2</v>
      </c>
      <c r="D3" t="s">
        <v>87</v>
      </c>
      <c r="E3">
        <f>IF(Table51524273033[[#This Row],[Proficiency?]]="No",Table51524273033[[#This Row],[Modifiers]],VLOOKUP($F$16,Proficiency[],2,FALSE)+Table51524273033[[#This Row],[Modifiers]])</f>
        <v>-2</v>
      </c>
      <c r="H3" t="s">
        <v>137</v>
      </c>
      <c r="I3" t="s">
        <v>184</v>
      </c>
      <c r="O3" t="s">
        <v>152</v>
      </c>
    </row>
    <row r="4" spans="1:16" x14ac:dyDescent="0.35">
      <c r="A4" t="s">
        <v>2</v>
      </c>
      <c r="B4">
        <v>21</v>
      </c>
      <c r="C4">
        <f>VLOOKUP(Table51524273033[[#This Row],[Score]],Modifier[],2,FALSE)</f>
        <v>5</v>
      </c>
      <c r="D4" t="s">
        <v>86</v>
      </c>
      <c r="E4">
        <f>IF(Table51524273033[[#This Row],[Proficiency?]]="No",Table51524273033[[#This Row],[Modifiers]],VLOOKUP($F$16,Proficiency[],2,FALSE)+Table51524273033[[#This Row],[Modifiers]])</f>
        <v>13</v>
      </c>
      <c r="H4" t="s">
        <v>138</v>
      </c>
      <c r="I4" t="s">
        <v>185</v>
      </c>
      <c r="O4" t="s">
        <v>153</v>
      </c>
    </row>
    <row r="5" spans="1:16" x14ac:dyDescent="0.35">
      <c r="A5" t="s">
        <v>3</v>
      </c>
      <c r="B5">
        <v>20</v>
      </c>
      <c r="C5">
        <f>VLOOKUP(Table51524273033[[#This Row],[Score]],Modifier[],2,FALSE)</f>
        <v>5</v>
      </c>
      <c r="D5" t="s">
        <v>86</v>
      </c>
      <c r="E5">
        <f>IF(Table51524273033[[#This Row],[Proficiency?]]="No",Table51524273033[[#This Row],[Modifiers]],VLOOKUP($F$16,Proficiency[],2,FALSE)+Table51524273033[[#This Row],[Modifiers]])</f>
        <v>13</v>
      </c>
      <c r="H5" t="s">
        <v>186</v>
      </c>
      <c r="O5" t="s">
        <v>154</v>
      </c>
    </row>
    <row r="6" spans="1:16" x14ac:dyDescent="0.35">
      <c r="A6" t="s">
        <v>4</v>
      </c>
      <c r="B6">
        <v>11</v>
      </c>
      <c r="C6">
        <f>VLOOKUP(Table51524273033[[#This Row],[Score]],Modifier[],2,FALSE)</f>
        <v>0</v>
      </c>
      <c r="D6" t="s">
        <v>86</v>
      </c>
      <c r="E6">
        <f>IF(Table51524273033[[#This Row],[Proficiency?]]="No",Table51524273033[[#This Row],[Modifiers]],VLOOKUP($F$16,Proficiency[],2,FALSE)+Table51524273033[[#This Row],[Modifiers]])</f>
        <v>8</v>
      </c>
      <c r="H6" t="s">
        <v>139</v>
      </c>
      <c r="I6" t="s">
        <v>187</v>
      </c>
      <c r="O6" t="s">
        <v>155</v>
      </c>
    </row>
    <row r="7" spans="1:16" x14ac:dyDescent="0.35">
      <c r="A7" t="s">
        <v>5</v>
      </c>
      <c r="B7">
        <v>14</v>
      </c>
      <c r="C7">
        <f>VLOOKUP(Table51524273033[[#This Row],[Score]],Modifier[],2,FALSE)</f>
        <v>2</v>
      </c>
      <c r="D7" t="s">
        <v>86</v>
      </c>
      <c r="E7">
        <f>IF(Table51524273033[[#This Row],[Proficiency?]]="No",Table51524273033[[#This Row],[Modifiers]],VLOOKUP($F$16,Proficiency[],2,FALSE)+Table51524273033[[#This Row],[Modifiers]])</f>
        <v>10</v>
      </c>
      <c r="H7" t="s">
        <v>140</v>
      </c>
      <c r="I7" t="s">
        <v>188</v>
      </c>
      <c r="O7" t="s">
        <v>154</v>
      </c>
    </row>
    <row r="8" spans="1:16" x14ac:dyDescent="0.35">
      <c r="H8" t="s">
        <v>141</v>
      </c>
      <c r="I8" t="s">
        <v>189</v>
      </c>
      <c r="O8" t="s">
        <v>156</v>
      </c>
    </row>
    <row r="9" spans="1:16" x14ac:dyDescent="0.35">
      <c r="H9" s="18"/>
      <c r="I9" t="s">
        <v>245</v>
      </c>
    </row>
    <row r="10" spans="1:16" x14ac:dyDescent="0.35">
      <c r="A10" t="s">
        <v>90</v>
      </c>
      <c r="B10" t="s">
        <v>91</v>
      </c>
      <c r="C10" t="s">
        <v>13</v>
      </c>
      <c r="E10" t="s">
        <v>116</v>
      </c>
      <c r="F10" s="9" t="s">
        <v>87</v>
      </c>
      <c r="O10" s="1" t="s">
        <v>157</v>
      </c>
      <c r="P10" s="1" t="s">
        <v>135</v>
      </c>
    </row>
    <row r="11" spans="1:16" x14ac:dyDescent="0.35">
      <c r="A11" t="s">
        <v>94</v>
      </c>
      <c r="B11" t="s">
        <v>84</v>
      </c>
      <c r="C11">
        <f>VLOOKUP(VLOOKUP(Table91625283134[[#This Row],[Skills]],Table10[],2,FALSE),Table5[[Ability]:[Modifiers]],3,FALSE)+VLOOKUP(Table91625283134[[#This Row],[Proficiency Level]],Table11[],3,FALSE)</f>
        <v>14</v>
      </c>
      <c r="E11" t="s">
        <v>117</v>
      </c>
      <c r="F11" s="9" t="s">
        <v>121</v>
      </c>
      <c r="H11" s="1" t="s">
        <v>142</v>
      </c>
      <c r="I11" s="1" t="s">
        <v>135</v>
      </c>
      <c r="O11" t="s">
        <v>158</v>
      </c>
    </row>
    <row r="12" spans="1:16" x14ac:dyDescent="0.35">
      <c r="A12" t="s">
        <v>95</v>
      </c>
      <c r="B12" t="s">
        <v>92</v>
      </c>
      <c r="C12">
        <f>VLOOKUP(VLOOKUP(Table91625283134[[#This Row],[Skills]],Table10[],2,FALSE),Table5[[Ability]:[Modifiers]],3,FALSE)+VLOOKUP(Table91625283134[[#This Row],[Proficiency Level]],Table11[],3,FALSE)</f>
        <v>0</v>
      </c>
      <c r="E12" t="s">
        <v>122</v>
      </c>
      <c r="F12" s="10">
        <f>IF(ISNUMBER(VLOOKUP(Neothelid!F11,Table12[],3,FALSE))=FALSE,IF(VLOOKUP(Neothelid!F11,Table12[],3,FALSE)="Yes",Neothelid!$C$3,0),VLOOKUP(Neothelid!F11,Table12[],3,FALSE))</f>
        <v>0</v>
      </c>
      <c r="H12" t="s">
        <v>143</v>
      </c>
      <c r="I12" t="s">
        <v>183</v>
      </c>
      <c r="O12" t="s">
        <v>159</v>
      </c>
    </row>
    <row r="13" spans="1:16" x14ac:dyDescent="0.35">
      <c r="A13" t="s">
        <v>96</v>
      </c>
      <c r="B13" t="s">
        <v>84</v>
      </c>
      <c r="C13">
        <f>VLOOKUP(VLOOKUP(Table91625283134[[#This Row],[Skills]],Table10[],2,FALSE),Table5[[Ability]:[Modifiers]],3,FALSE)+VLOOKUP(Table91625283134[[#This Row],[Proficiency Level]],Table11[],3,FALSE)</f>
        <v>14</v>
      </c>
      <c r="E13" t="s">
        <v>123</v>
      </c>
      <c r="F13" s="9">
        <v>1</v>
      </c>
      <c r="H13" t="s">
        <v>144</v>
      </c>
      <c r="I13" t="s">
        <v>190</v>
      </c>
      <c r="O13" t="s">
        <v>160</v>
      </c>
    </row>
    <row r="14" spans="1:16" x14ac:dyDescent="0.35">
      <c r="A14" t="s">
        <v>97</v>
      </c>
      <c r="B14" t="s">
        <v>92</v>
      </c>
      <c r="C14">
        <f>VLOOKUP(VLOOKUP(Table91625283134[[#This Row],[Skills]],Table10[],2,FALSE),Table5[[Ability]:[Modifiers]],3,FALSE)+VLOOKUP(Table91625283134[[#This Row],[Proficiency Level]],Table11[],3,FALSE)</f>
        <v>0</v>
      </c>
      <c r="H14" t="s">
        <v>145</v>
      </c>
      <c r="I14" t="s">
        <v>191</v>
      </c>
      <c r="O14" t="s">
        <v>161</v>
      </c>
    </row>
    <row r="15" spans="1:16" x14ac:dyDescent="0.35">
      <c r="A15" t="s">
        <v>98</v>
      </c>
      <c r="B15" t="s">
        <v>84</v>
      </c>
      <c r="C15">
        <f>VLOOKUP(VLOOKUP(Table91625283134[[#This Row],[Skills]],Table10[],2,FALSE),Table5[[Ability]:[Modifiers]],3,FALSE)+VLOOKUP(Table91625283134[[#This Row],[Proficiency Level]],Table11[],3,FALSE)</f>
        <v>11</v>
      </c>
      <c r="H15" t="s">
        <v>146</v>
      </c>
      <c r="I15" t="s">
        <v>192</v>
      </c>
      <c r="O15" t="s">
        <v>162</v>
      </c>
    </row>
    <row r="16" spans="1:16" x14ac:dyDescent="0.35">
      <c r="A16" t="s">
        <v>99</v>
      </c>
      <c r="B16" t="s">
        <v>92</v>
      </c>
      <c r="C16">
        <f>VLOOKUP(VLOOKUP(Table91625283134[[#This Row],[Skills]],Table10[],2,FALSE),Table5[[Ability]:[Modifiers]],3,FALSE)+VLOOKUP(Table91625283134[[#This Row],[Proficiency Level]],Table11[],3,FALSE)</f>
        <v>5</v>
      </c>
      <c r="E16" s="1" t="s">
        <v>88</v>
      </c>
      <c r="F16" s="9">
        <v>30</v>
      </c>
      <c r="H16" t="s">
        <v>147</v>
      </c>
      <c r="O16" t="s">
        <v>163</v>
      </c>
    </row>
    <row r="17" spans="1:24" x14ac:dyDescent="0.35">
      <c r="A17" t="s">
        <v>100</v>
      </c>
      <c r="B17" t="s">
        <v>84</v>
      </c>
      <c r="C17">
        <f>VLOOKUP(VLOOKUP(Table91625283134[[#This Row],[Skills]],Table10[],2,FALSE),Table5[[Ability]:[Modifiers]],3,FALSE)+VLOOKUP(Table91625283134[[#This Row],[Proficiency Level]],Table11[],3,FALSE)</f>
        <v>9</v>
      </c>
      <c r="E17" s="1" t="s">
        <v>115</v>
      </c>
      <c r="F17" s="10">
        <f>IF(Neothelid!F10="Yes",VLOOKUP(F11,Table12[],2,FALSE)+Neothelid!F12+2+F13,VLOOKUP(F11,Table12[],2,FALSE)+Neothelid!F12+F13)+SUM(Table55868789909194[Applied AC Bonus])</f>
        <v>25</v>
      </c>
      <c r="H17" t="s">
        <v>148</v>
      </c>
      <c r="O17" t="s">
        <v>164</v>
      </c>
    </row>
    <row r="18" spans="1:24" x14ac:dyDescent="0.35">
      <c r="A18" t="s">
        <v>101</v>
      </c>
      <c r="B18" t="s">
        <v>92</v>
      </c>
      <c r="C18">
        <f>VLOOKUP(VLOOKUP(Table91625283134[[#This Row],[Skills]],Table10[],2,FALSE),Table5[[Ability]:[Modifiers]],3,FALSE)+VLOOKUP(Table91625283134[[#This Row],[Proficiency Level]],Table11[],3,FALSE)</f>
        <v>2</v>
      </c>
      <c r="E18" s="1" t="s">
        <v>132</v>
      </c>
      <c r="F18" s="12">
        <f>SUM(Table131726293235[[Average ]])</f>
        <v>491</v>
      </c>
      <c r="H18" t="s">
        <v>179</v>
      </c>
      <c r="O18" t="s">
        <v>165</v>
      </c>
      <c r="P18" t="s">
        <v>198</v>
      </c>
    </row>
    <row r="19" spans="1:24" x14ac:dyDescent="0.35">
      <c r="A19" t="s">
        <v>102</v>
      </c>
      <c r="B19" t="s">
        <v>92</v>
      </c>
      <c r="C19">
        <f>VLOOKUP(VLOOKUP(Table91625283134[[#This Row],[Skills]],Table10[],2,FALSE),Table5[[Ability]:[Modifiers]],3,FALSE)+VLOOKUP(Table91625283134[[#This Row],[Proficiency Level]],Table11[],3,FALSE)</f>
        <v>5</v>
      </c>
      <c r="E19" s="1" t="s">
        <v>178</v>
      </c>
      <c r="F19" s="10">
        <f>8+VLOOKUP("Intelligence",Table51524273033[],3,FALSE)+VLOOKUP(F16,Proficiency[],2,FALSE)</f>
        <v>21</v>
      </c>
      <c r="H19" t="s">
        <v>180</v>
      </c>
      <c r="O19" t="s">
        <v>166</v>
      </c>
    </row>
    <row r="20" spans="1:24" x14ac:dyDescent="0.35">
      <c r="A20" t="s">
        <v>103</v>
      </c>
      <c r="B20" t="s">
        <v>92</v>
      </c>
      <c r="C20">
        <f>VLOOKUP(VLOOKUP(Table91625283134[[#This Row],[Skills]],Table10[],2,FALSE),Table5[[Ability]:[Modifiers]],3,FALSE)+VLOOKUP(Table91625283134[[#This Row],[Proficiency Level]],Table11[],3,FALSE)</f>
        <v>0</v>
      </c>
      <c r="H20" t="s">
        <v>181</v>
      </c>
      <c r="O20" s="18"/>
    </row>
    <row r="21" spans="1:24" x14ac:dyDescent="0.35">
      <c r="A21" t="s">
        <v>104</v>
      </c>
      <c r="B21" t="s">
        <v>92</v>
      </c>
      <c r="C21">
        <f>VLOOKUP(VLOOKUP(Table91625283134[[#This Row],[Skills]],Table10[],2,FALSE),Table5[[Ability]:[Modifiers]],3,FALSE)+VLOOKUP(Table91625283134[[#This Row],[Proficiency Level]],Table11[],3,FALSE)</f>
        <v>5</v>
      </c>
      <c r="E21" s="14" t="s">
        <v>209</v>
      </c>
      <c r="F21" s="10">
        <f>10+C22</f>
        <v>19</v>
      </c>
      <c r="H21" s="20" t="s">
        <v>272</v>
      </c>
    </row>
    <row r="22" spans="1:24" x14ac:dyDescent="0.35">
      <c r="A22" t="s">
        <v>105</v>
      </c>
      <c r="B22" t="s">
        <v>84</v>
      </c>
      <c r="C22">
        <f>VLOOKUP(VLOOKUP(Table91625283134[[#This Row],[Skills]],Table10[],2,FALSE),Table5[[Ability]:[Modifiers]],3,FALSE)+VLOOKUP(Table91625283134[[#This Row],[Proficiency Level]],Table11[],3,FALSE)</f>
        <v>9</v>
      </c>
      <c r="H22" s="20" t="s">
        <v>273</v>
      </c>
    </row>
    <row r="23" spans="1:24" x14ac:dyDescent="0.35">
      <c r="A23" t="s">
        <v>106</v>
      </c>
      <c r="B23" t="s">
        <v>92</v>
      </c>
      <c r="C23">
        <f>VLOOKUP(VLOOKUP(Table91625283134[[#This Row],[Skills]],Table10[],2,FALSE),Table5[[Ability]:[Modifiers]],3,FALSE)+VLOOKUP(Table91625283134[[#This Row],[Proficiency Level]],Table11[],3,FALSE)</f>
        <v>2</v>
      </c>
    </row>
    <row r="24" spans="1:24" x14ac:dyDescent="0.35">
      <c r="A24" t="s">
        <v>107</v>
      </c>
      <c r="B24" t="s">
        <v>92</v>
      </c>
      <c r="C24">
        <f>VLOOKUP(VLOOKUP(Table91625283134[[#This Row],[Skills]],Table10[],2,FALSE),Table5[[Ability]:[Modifiers]],3,FALSE)+VLOOKUP(Table91625283134[[#This Row],[Proficiency Level]],Table11[],3,FALSE)</f>
        <v>2</v>
      </c>
      <c r="H24" s="1" t="s">
        <v>199</v>
      </c>
    </row>
    <row r="25" spans="1:24" x14ac:dyDescent="0.35">
      <c r="A25" t="s">
        <v>108</v>
      </c>
      <c r="B25" t="s">
        <v>92</v>
      </c>
      <c r="C25">
        <f>VLOOKUP(VLOOKUP(Table91625283134[[#This Row],[Skills]],Table10[],2,FALSE),Table5[[Ability]:[Modifiers]],3,FALSE)+VLOOKUP(Table91625283134[[#This Row],[Proficiency Level]],Table11[],3,FALSE)</f>
        <v>5</v>
      </c>
      <c r="H25" s="18" t="s">
        <v>269</v>
      </c>
      <c r="I25" t="s">
        <v>270</v>
      </c>
    </row>
    <row r="26" spans="1:24" x14ac:dyDescent="0.35">
      <c r="A26" t="s">
        <v>109</v>
      </c>
      <c r="B26" t="s">
        <v>92</v>
      </c>
      <c r="C26">
        <f>VLOOKUP(VLOOKUP(Table91625283134[[#This Row],[Skills]],Table10[],2,FALSE),Table5[[Ability]:[Modifiers]],3,FALSE)+VLOOKUP(Table91625283134[[#This Row],[Proficiency Level]],Table11[],3,FALSE)</f>
        <v>5</v>
      </c>
      <c r="H26" s="18" t="s">
        <v>263</v>
      </c>
    </row>
    <row r="27" spans="1:24" x14ac:dyDescent="0.35">
      <c r="A27" t="s">
        <v>110</v>
      </c>
      <c r="B27" t="s">
        <v>93</v>
      </c>
      <c r="C27">
        <f>VLOOKUP(VLOOKUP(Table91625283134[[#This Row],[Skills]],Table10[],2,FALSE),Table5[[Ability]:[Modifiers]],3,FALSE)+VLOOKUP(Table91625283134[[#This Row],[Proficiency Level]],Table11[],3,FALSE)</f>
        <v>23</v>
      </c>
      <c r="H27" s="18" t="s">
        <v>271</v>
      </c>
    </row>
    <row r="28" spans="1:24" x14ac:dyDescent="0.35">
      <c r="A28" t="s">
        <v>111</v>
      </c>
      <c r="B28" t="s">
        <v>92</v>
      </c>
      <c r="C28">
        <f>VLOOKUP(VLOOKUP(Table91625283134[[#This Row],[Skills]],Table10[],2,FALSE),Table5[[Ability]:[Modifiers]],3,FALSE)+VLOOKUP(Table91625283134[[#This Row],[Proficiency Level]],Table11[],3,FALSE)</f>
        <v>0</v>
      </c>
      <c r="H28" s="18" t="s">
        <v>274</v>
      </c>
    </row>
    <row r="29" spans="1:24" x14ac:dyDescent="0.35">
      <c r="H29" s="18"/>
    </row>
    <row r="30" spans="1:24" x14ac:dyDescent="0.35">
      <c r="H30" s="32" t="s">
        <v>297</v>
      </c>
      <c r="I30" s="33" t="s">
        <v>513</v>
      </c>
      <c r="J30" s="33" t="s">
        <v>516</v>
      </c>
      <c r="K30" s="33" t="s">
        <v>81</v>
      </c>
      <c r="L30" s="33" t="s">
        <v>514</v>
      </c>
      <c r="M30" s="33" t="s">
        <v>515</v>
      </c>
      <c r="N30" s="33" t="s">
        <v>178</v>
      </c>
      <c r="O30" s="33" t="s">
        <v>351</v>
      </c>
      <c r="P30" s="33" t="s">
        <v>312</v>
      </c>
      <c r="Q30" s="33" t="s">
        <v>314</v>
      </c>
      <c r="R30" s="33" t="s">
        <v>522</v>
      </c>
      <c r="S30" s="33" t="s">
        <v>523</v>
      </c>
      <c r="T30" s="33" t="s">
        <v>524</v>
      </c>
      <c r="U30" s="33" t="s">
        <v>525</v>
      </c>
      <c r="V30" s="33" t="s">
        <v>320</v>
      </c>
      <c r="W30" s="33" t="s">
        <v>319</v>
      </c>
      <c r="X30" s="41" t="s">
        <v>517</v>
      </c>
    </row>
    <row r="31" spans="1:24" x14ac:dyDescent="0.35">
      <c r="A31" t="s">
        <v>124</v>
      </c>
      <c r="B31" t="s">
        <v>125</v>
      </c>
      <c r="C31" t="s">
        <v>130</v>
      </c>
      <c r="D31" t="s">
        <v>133</v>
      </c>
      <c r="I31" t="s">
        <v>272</v>
      </c>
      <c r="J31" t="s">
        <v>519</v>
      </c>
      <c r="K31" t="s">
        <v>0</v>
      </c>
      <c r="L31">
        <f t="shared" ref="L31" si="0">$C$2+8</f>
        <v>16</v>
      </c>
      <c r="O31">
        <v>3</v>
      </c>
      <c r="P31">
        <v>8</v>
      </c>
      <c r="Q31">
        <v>8</v>
      </c>
      <c r="R31">
        <v>2</v>
      </c>
      <c r="S31">
        <v>10</v>
      </c>
      <c r="T31" t="s">
        <v>0</v>
      </c>
      <c r="U31">
        <v>21</v>
      </c>
      <c r="V31">
        <f>((Table79[[#This Row],[Damage Dice]]/2)*Table79[[#This Row],['# Dice]])+(Table79[[#This Row],[Bonus Damage Dice]]/2)*Table79[[#This Row],[Bonus '# Dice]]+Table79[[#This Row],[Bonus Damage]]</f>
        <v>30</v>
      </c>
      <c r="X31" t="s">
        <v>541</v>
      </c>
    </row>
    <row r="32" spans="1:24" x14ac:dyDescent="0.35">
      <c r="A32" t="s">
        <v>126</v>
      </c>
      <c r="B32">
        <v>6</v>
      </c>
      <c r="C32">
        <v>20</v>
      </c>
      <c r="D32">
        <f>(((Table131726293235[[#This Row],[Hit Dice]]/2)+0.5)+VLOOKUP("Constitution",Table51524273033[[Ability]:[Modifiers]],3,FALSE))*Table131726293235[[#This Row],[Levels]]</f>
        <v>170</v>
      </c>
      <c r="I32" t="s">
        <v>273</v>
      </c>
      <c r="J32" t="s">
        <v>89</v>
      </c>
      <c r="M32" t="s">
        <v>1</v>
      </c>
      <c r="N32">
        <v>21</v>
      </c>
      <c r="O32">
        <v>10</v>
      </c>
      <c r="P32">
        <v>6</v>
      </c>
      <c r="V32">
        <f>((Table79[[#This Row],[Damage Dice]]/2)*Table79[[#This Row],['# Dice]])+(Table79[[#This Row],[Bonus Damage Dice]]/2)*Table79[[#This Row],[Bonus '# Dice]]+Table79[[#This Row],[Bonus Damage]]</f>
        <v>30</v>
      </c>
    </row>
    <row r="33" spans="1:11" x14ac:dyDescent="0.35">
      <c r="A33" t="s">
        <v>127</v>
      </c>
      <c r="B33">
        <v>10</v>
      </c>
      <c r="C33">
        <v>3</v>
      </c>
      <c r="D33" s="11">
        <f>(((Table131726293235[[#This Row],[Hit Dice]]/2)+0.5)+VLOOKUP("Constitution",Table51524273033[[Ability]:[Modifiers]],3,FALSE))*Table131726293235[[#This Row],[Levels]]</f>
        <v>31.5</v>
      </c>
    </row>
    <row r="34" spans="1:11" x14ac:dyDescent="0.35">
      <c r="A34" t="s">
        <v>128</v>
      </c>
      <c r="B34">
        <v>6</v>
      </c>
      <c r="C34">
        <v>3</v>
      </c>
      <c r="D34" s="11">
        <f>(((Table131726293235[[#This Row],[Hit Dice]]/2)+0.5)+VLOOKUP("Constitution",Table51524273033[[Ability]:[Modifiers]],3,FALSE))*Table131726293235[[#This Row],[Levels]]</f>
        <v>25.5</v>
      </c>
    </row>
    <row r="35" spans="1:11" x14ac:dyDescent="0.35">
      <c r="A35" t="s">
        <v>129</v>
      </c>
      <c r="B35">
        <v>10</v>
      </c>
      <c r="C35">
        <v>3</v>
      </c>
      <c r="D35" s="11">
        <f>(((Table131726293235[[#This Row],[Hit Dice]]/2)+0.5)+VLOOKUP("Constitution",Table51524273033[[Ability]:[Modifiers]],3,FALSE))*Table131726293235[[#This Row],[Levels]]</f>
        <v>31.5</v>
      </c>
      <c r="H35" t="s">
        <v>628</v>
      </c>
    </row>
    <row r="36" spans="1:11" x14ac:dyDescent="0.35">
      <c r="A36" t="s">
        <v>61</v>
      </c>
      <c r="B36">
        <v>20</v>
      </c>
      <c r="C36">
        <v>15</v>
      </c>
      <c r="D36" s="11">
        <f>(((Table131726293235[[#This Row],[Hit Dice]]/2)+0.5)+VLOOKUP("Constitution",Table51524273033[[Ability]:[Modifiers]],3,FALSE))*Table131726293235[[#This Row],[Levels]]</f>
        <v>232.5</v>
      </c>
      <c r="H36" s="1" t="s">
        <v>631</v>
      </c>
      <c r="I36" s="1" t="s">
        <v>498</v>
      </c>
      <c r="J36" s="1" t="s">
        <v>629</v>
      </c>
      <c r="K36" s="1" t="s">
        <v>634</v>
      </c>
    </row>
    <row r="37" spans="1:11" x14ac:dyDescent="0.35">
      <c r="H37" s="9" t="s">
        <v>86</v>
      </c>
      <c r="I37" t="s">
        <v>630</v>
      </c>
      <c r="J37">
        <v>2</v>
      </c>
      <c r="K37">
        <f>IF(Table55868789909194[[#This Row],[Active]]="Yes",Table55868789909194[[#This Row],[AC Bonus]],"")</f>
        <v>2</v>
      </c>
    </row>
    <row r="38" spans="1:11" x14ac:dyDescent="0.35">
      <c r="A38" s="13" t="s">
        <v>167</v>
      </c>
      <c r="H38" s="9" t="s">
        <v>86</v>
      </c>
      <c r="I38" t="s">
        <v>632</v>
      </c>
      <c r="J38">
        <v>2</v>
      </c>
      <c r="K38">
        <f>IF(Table55868789909194[[#This Row],[Active]]="Yes",Table55868789909194[[#This Row],[AC Bonus]],"")</f>
        <v>2</v>
      </c>
    </row>
    <row r="39" spans="1:11" x14ac:dyDescent="0.35">
      <c r="A39" s="1" t="s">
        <v>50</v>
      </c>
      <c r="B39" s="1" t="s">
        <v>171</v>
      </c>
      <c r="H39" s="9" t="s">
        <v>87</v>
      </c>
      <c r="I39" t="s">
        <v>633</v>
      </c>
      <c r="J39">
        <v>1</v>
      </c>
      <c r="K39" t="str">
        <f>IF(Table55868789909194[[#This Row],[Active]]="Yes",Table55868789909194[[#This Row],[AC Bonus]],"")</f>
        <v/>
      </c>
    </row>
    <row r="40" spans="1:11" x14ac:dyDescent="0.35">
      <c r="A40">
        <v>1</v>
      </c>
      <c r="B40" t="s">
        <v>47</v>
      </c>
      <c r="H40" s="9" t="s">
        <v>86</v>
      </c>
      <c r="I40" t="s">
        <v>44</v>
      </c>
      <c r="J40">
        <v>2</v>
      </c>
      <c r="K40">
        <f>IF(Table55868789909194[[#This Row],[Active]]="Yes",Table55868789909194[[#This Row],[AC Bonus]],"")</f>
        <v>2</v>
      </c>
    </row>
    <row r="41" spans="1:11" x14ac:dyDescent="0.35">
      <c r="A41">
        <v>1</v>
      </c>
      <c r="B41" t="s">
        <v>170</v>
      </c>
      <c r="H41" s="54" t="s">
        <v>87</v>
      </c>
      <c r="I41" s="38" t="s">
        <v>160</v>
      </c>
      <c r="J41" s="38">
        <v>5</v>
      </c>
      <c r="K41" s="55" t="str">
        <f>IF(Table55868789909194[[#This Row],[Active]]="Yes",Table55868789909194[[#This Row],[AC Bonus]],"")</f>
        <v/>
      </c>
    </row>
    <row r="42" spans="1:11" x14ac:dyDescent="0.35">
      <c r="A42">
        <v>2</v>
      </c>
      <c r="B42" t="s">
        <v>168</v>
      </c>
      <c r="H42" s="54"/>
      <c r="I42" s="38" t="s">
        <v>658</v>
      </c>
      <c r="J42" s="38">
        <v>2</v>
      </c>
      <c r="K42" s="55" t="str">
        <f>IF(Table55868789909194[[#This Row],[Active]]="Yes",Table55868789909194[[#This Row],[AC Bonus]],"")</f>
        <v/>
      </c>
    </row>
    <row r="43" spans="1:11" x14ac:dyDescent="0.35">
      <c r="A43">
        <v>2</v>
      </c>
      <c r="B43" t="s">
        <v>169</v>
      </c>
      <c r="H43" s="54"/>
      <c r="I43" s="59" t="s">
        <v>659</v>
      </c>
      <c r="J43" s="38">
        <v>5</v>
      </c>
      <c r="K43" s="55" t="str">
        <f>IF(Table55868789909194[[#This Row],[Active]]="Yes",Table55868789909194[[#This Row],[AC Bonus]],"")</f>
        <v/>
      </c>
    </row>
    <row r="45" spans="1:11" x14ac:dyDescent="0.35">
      <c r="A45" s="13" t="s">
        <v>172</v>
      </c>
    </row>
    <row r="46" spans="1:11" x14ac:dyDescent="0.35">
      <c r="A46" s="1" t="s">
        <v>50</v>
      </c>
      <c r="B46" s="1" t="s">
        <v>171</v>
      </c>
    </row>
    <row r="47" spans="1:11" x14ac:dyDescent="0.35">
      <c r="A47">
        <v>1</v>
      </c>
      <c r="B47" t="s">
        <v>173</v>
      </c>
    </row>
    <row r="48" spans="1:11" x14ac:dyDescent="0.35">
      <c r="A48">
        <v>1</v>
      </c>
      <c r="B48" t="s">
        <v>49</v>
      </c>
    </row>
    <row r="49" spans="1:2" x14ac:dyDescent="0.35">
      <c r="A49">
        <v>1</v>
      </c>
      <c r="B49" t="s">
        <v>174</v>
      </c>
    </row>
    <row r="50" spans="1:2" x14ac:dyDescent="0.35">
      <c r="A50">
        <v>1</v>
      </c>
      <c r="B50" t="s">
        <v>175</v>
      </c>
    </row>
    <row r="51" spans="1:2" x14ac:dyDescent="0.35">
      <c r="A51">
        <v>1</v>
      </c>
      <c r="B51" t="s">
        <v>47</v>
      </c>
    </row>
    <row r="52" spans="1:2" x14ac:dyDescent="0.35">
      <c r="A52">
        <v>1</v>
      </c>
      <c r="B52" t="s">
        <v>176</v>
      </c>
    </row>
    <row r="54" spans="1:2" x14ac:dyDescent="0.35">
      <c r="A54" s="13" t="s">
        <v>268</v>
      </c>
    </row>
    <row r="55" spans="1:2" x14ac:dyDescent="0.35">
      <c r="A55" s="1" t="s">
        <v>50</v>
      </c>
      <c r="B55" s="1" t="s">
        <v>171</v>
      </c>
    </row>
    <row r="60" spans="1:2" x14ac:dyDescent="0.35">
      <c r="A60" s="13"/>
    </row>
    <row r="61" spans="1:2" x14ac:dyDescent="0.35">
      <c r="A61" s="1"/>
      <c r="B61" s="1"/>
    </row>
  </sheetData>
  <pageMargins left="0.7" right="0.7" top="0.75" bottom="0.75" header="0.3" footer="0.3"/>
  <pageSetup orientation="portrait" r:id="rId1"/>
  <tableParts count="5">
    <tablePart r:id="rId2"/>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A37A3C3F-DBDB-481B-88A6-B28FF4D9A7FB}">
          <x14:formula1>
            <xm:f>'Rules of the Game'!$D$4:$D$6</xm:f>
          </x14:formula1>
          <xm:sqref>B11:B28</xm:sqref>
        </x14:dataValidation>
        <x14:dataValidation type="list" allowBlank="1" showInputMessage="1" showErrorMessage="1" xr:uid="{6C797B81-8E0D-49FC-9FA7-87E5A7446429}">
          <x14:formula1>
            <xm:f>'Rules of the Game'!$D$1:$D$2</xm:f>
          </x14:formula1>
          <xm:sqref>D2:D7 F10 H37:H43</xm:sqref>
        </x14:dataValidation>
        <x14:dataValidation type="list" allowBlank="1" showInputMessage="1" showErrorMessage="1" xr:uid="{9E75FB5F-01BD-4840-8BF3-7A50E859E174}">
          <x14:formula1>
            <xm:f>'Rules of the Game'!$D$42:$D$53</xm:f>
          </x14:formula1>
          <xm:sqref>F11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6BCFE-E5B1-4ECD-BDA5-6749F651F881}">
  <sheetPr codeName="Sheet11"/>
  <dimension ref="A1:X62"/>
  <sheetViews>
    <sheetView topLeftCell="B12" zoomScale="110" zoomScaleNormal="100" workbookViewId="0">
      <selection activeCell="I46" sqref="I46"/>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21.54296875" bestFit="1" customWidth="1"/>
    <col min="8" max="8" width="27.1796875" bestFit="1" customWidth="1"/>
    <col min="9" max="9" width="12.54296875" customWidth="1"/>
    <col min="10" max="10" width="18" customWidth="1"/>
    <col min="11" max="11" width="12.81640625" customWidth="1"/>
    <col min="12" max="12" width="12.54296875" customWidth="1"/>
    <col min="13" max="13" width="10.7265625" customWidth="1"/>
    <col min="14" max="14" width="9.1796875" customWidth="1"/>
    <col min="15" max="15" width="27.1796875" bestFit="1" customWidth="1"/>
    <col min="16" max="16" width="13.26953125" customWidth="1"/>
    <col min="17" max="17" width="14.81640625" customWidth="1"/>
    <col min="18" max="18" width="13.1796875" customWidth="1"/>
    <col min="19" max="19" width="18.81640625" customWidth="1"/>
    <col min="20" max="20" width="19.7265625" customWidth="1"/>
    <col min="21" max="21" width="18.1796875" customWidth="1"/>
    <col min="22" max="22" width="16.54296875" customWidth="1"/>
    <col min="24" max="24" width="11.453125"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19</v>
      </c>
      <c r="C2">
        <f>VLOOKUP(Table5152427303336[[#This Row],[Score]],Modifier[],2,FALSE)</f>
        <v>4</v>
      </c>
      <c r="D2" t="s">
        <v>87</v>
      </c>
      <c r="E2">
        <f>IF(Table5152427303336[[#This Row],[Proficiency?]]="No",Table5152427303336[[#This Row],[Modifiers]],VLOOKUP($F$16,Proficiency[],2,FALSE)+Table5152427303336[[#This Row],[Modifiers]])</f>
        <v>4</v>
      </c>
      <c r="H2" t="s">
        <v>136</v>
      </c>
      <c r="I2" t="s">
        <v>177</v>
      </c>
      <c r="O2" t="s">
        <v>151</v>
      </c>
      <c r="P2" t="s">
        <v>182</v>
      </c>
    </row>
    <row r="3" spans="1:16" x14ac:dyDescent="0.35">
      <c r="A3" t="s">
        <v>1</v>
      </c>
      <c r="B3">
        <v>16</v>
      </c>
      <c r="C3">
        <f>VLOOKUP(Table5152427303336[[#This Row],[Score]],Modifier[],2,FALSE)</f>
        <v>3</v>
      </c>
      <c r="D3" t="s">
        <v>86</v>
      </c>
      <c r="E3">
        <f>IF(Table5152427303336[[#This Row],[Proficiency?]]="No",Table5152427303336[[#This Row],[Modifiers]],VLOOKUP($F$16,Proficiency[],2,FALSE)+Table5152427303336[[#This Row],[Modifiers]])</f>
        <v>11</v>
      </c>
      <c r="H3" t="s">
        <v>137</v>
      </c>
      <c r="I3" t="s">
        <v>184</v>
      </c>
      <c r="O3" t="s">
        <v>152</v>
      </c>
    </row>
    <row r="4" spans="1:16" x14ac:dyDescent="0.35">
      <c r="A4" t="s">
        <v>2</v>
      </c>
      <c r="B4">
        <v>16</v>
      </c>
      <c r="C4">
        <f>VLOOKUP(Table5152427303336[[#This Row],[Score]],Modifier[],2,FALSE)</f>
        <v>3</v>
      </c>
      <c r="D4" t="s">
        <v>86</v>
      </c>
      <c r="E4">
        <f>IF(Table5152427303336[[#This Row],[Proficiency?]]="No",Table5152427303336[[#This Row],[Modifiers]],VLOOKUP($F$16,Proficiency[],2,FALSE)+Table5152427303336[[#This Row],[Modifiers]])</f>
        <v>11</v>
      </c>
      <c r="H4" t="s">
        <v>138</v>
      </c>
      <c r="I4" t="s">
        <v>185</v>
      </c>
      <c r="O4" t="s">
        <v>153</v>
      </c>
    </row>
    <row r="5" spans="1:16" x14ac:dyDescent="0.35">
      <c r="A5" t="s">
        <v>3</v>
      </c>
      <c r="B5">
        <v>20</v>
      </c>
      <c r="C5">
        <f>VLOOKUP(Table5152427303336[[#This Row],[Score]],Modifier[],2,FALSE)</f>
        <v>5</v>
      </c>
      <c r="D5" t="s">
        <v>86</v>
      </c>
      <c r="E5">
        <f>IF(Table5152427303336[[#This Row],[Proficiency?]]="No",Table5152427303336[[#This Row],[Modifiers]],VLOOKUP($F$16,Proficiency[],2,FALSE)+Table5152427303336[[#This Row],[Modifiers]])</f>
        <v>13</v>
      </c>
      <c r="H5" t="s">
        <v>186</v>
      </c>
      <c r="O5" t="s">
        <v>154</v>
      </c>
    </row>
    <row r="6" spans="1:16" x14ac:dyDescent="0.35">
      <c r="A6" t="s">
        <v>4</v>
      </c>
      <c r="B6">
        <v>11</v>
      </c>
      <c r="C6">
        <f>VLOOKUP(Table5152427303336[[#This Row],[Score]],Modifier[],2,FALSE)</f>
        <v>0</v>
      </c>
      <c r="D6" t="s">
        <v>86</v>
      </c>
      <c r="E6">
        <f>IF(Table5152427303336[[#This Row],[Proficiency?]]="No",Table5152427303336[[#This Row],[Modifiers]],VLOOKUP($F$16,Proficiency[],2,FALSE)+Table5152427303336[[#This Row],[Modifiers]])</f>
        <v>8</v>
      </c>
      <c r="H6" t="s">
        <v>139</v>
      </c>
      <c r="I6" t="s">
        <v>187</v>
      </c>
      <c r="O6" t="s">
        <v>155</v>
      </c>
    </row>
    <row r="7" spans="1:16" x14ac:dyDescent="0.35">
      <c r="A7" t="s">
        <v>5</v>
      </c>
      <c r="B7">
        <v>14</v>
      </c>
      <c r="C7">
        <f>VLOOKUP(Table5152427303336[[#This Row],[Score]],Modifier[],2,FALSE)</f>
        <v>2</v>
      </c>
      <c r="D7" t="s">
        <v>86</v>
      </c>
      <c r="E7">
        <f>IF(Table5152427303336[[#This Row],[Proficiency?]]="No",Table5152427303336[[#This Row],[Modifiers]],VLOOKUP($F$16,Proficiency[],2,FALSE)+Table5152427303336[[#This Row],[Modifiers]])</f>
        <v>10</v>
      </c>
      <c r="H7" t="s">
        <v>140</v>
      </c>
      <c r="I7" t="s">
        <v>188</v>
      </c>
      <c r="O7" t="s">
        <v>154</v>
      </c>
    </row>
    <row r="8" spans="1:16" x14ac:dyDescent="0.35">
      <c r="H8" t="s">
        <v>141</v>
      </c>
      <c r="I8" t="s">
        <v>189</v>
      </c>
      <c r="O8" t="s">
        <v>156</v>
      </c>
    </row>
    <row r="9" spans="1:16" x14ac:dyDescent="0.35">
      <c r="H9" s="18"/>
      <c r="I9" t="s">
        <v>245</v>
      </c>
    </row>
    <row r="10" spans="1:16" x14ac:dyDescent="0.35">
      <c r="A10" t="s">
        <v>90</v>
      </c>
      <c r="B10" t="s">
        <v>91</v>
      </c>
      <c r="C10" t="s">
        <v>13</v>
      </c>
      <c r="E10" t="s">
        <v>116</v>
      </c>
      <c r="F10" s="9" t="s">
        <v>86</v>
      </c>
      <c r="O10" s="1" t="s">
        <v>157</v>
      </c>
      <c r="P10" s="1" t="s">
        <v>135</v>
      </c>
    </row>
    <row r="11" spans="1:16" x14ac:dyDescent="0.35">
      <c r="A11" t="s">
        <v>94</v>
      </c>
      <c r="B11" t="s">
        <v>84</v>
      </c>
      <c r="C11">
        <f>VLOOKUP(VLOOKUP(Table9162528313437[[#This Row],[Skills]],Table10[],2,FALSE),Table5[[Ability]:[Modifiers]],3,FALSE)+VLOOKUP(Table9162528313437[[#This Row],[Proficiency Level]],Table11[],3,FALSE)</f>
        <v>14</v>
      </c>
      <c r="E11" t="s">
        <v>117</v>
      </c>
      <c r="F11" s="9" t="s">
        <v>121</v>
      </c>
      <c r="H11" s="1" t="s">
        <v>142</v>
      </c>
      <c r="I11" s="1" t="s">
        <v>135</v>
      </c>
      <c r="O11" t="s">
        <v>158</v>
      </c>
    </row>
    <row r="12" spans="1:16" x14ac:dyDescent="0.35">
      <c r="A12" t="s">
        <v>95</v>
      </c>
      <c r="B12" t="s">
        <v>92</v>
      </c>
      <c r="C12">
        <f>VLOOKUP(VLOOKUP(Table9162528313437[[#This Row],[Skills]],Table10[],2,FALSE),Table5[[Ability]:[Modifiers]],3,FALSE)+VLOOKUP(Table9162528313437[[#This Row],[Proficiency Level]],Table11[],3,FALSE)</f>
        <v>0</v>
      </c>
      <c r="E12" t="s">
        <v>122</v>
      </c>
      <c r="F12" s="10">
        <f>IF(ISNUMBER(VLOOKUP('Oni Nothic'!F11,Table12[],3,FALSE))=FALSE,IF(VLOOKUP('Oni Nothic'!F11,Table12[],3,FALSE)="Yes",'Oni Nothic'!$C$3,0),VLOOKUP('Oni Nothic'!F11,Table12[],3,FALSE))</f>
        <v>0</v>
      </c>
      <c r="H12" t="s">
        <v>143</v>
      </c>
      <c r="I12" t="s">
        <v>183</v>
      </c>
      <c r="O12" t="s">
        <v>159</v>
      </c>
    </row>
    <row r="13" spans="1:16" x14ac:dyDescent="0.35">
      <c r="A13" t="s">
        <v>96</v>
      </c>
      <c r="B13" t="s">
        <v>84</v>
      </c>
      <c r="C13">
        <f>VLOOKUP(VLOOKUP(Table9162528313437[[#This Row],[Skills]],Table10[],2,FALSE),Table5[[Ability]:[Modifiers]],3,FALSE)+VLOOKUP(Table9162528313437[[#This Row],[Proficiency Level]],Table11[],3,FALSE)</f>
        <v>14</v>
      </c>
      <c r="E13" t="s">
        <v>123</v>
      </c>
      <c r="F13" s="9">
        <v>1</v>
      </c>
      <c r="H13" t="s">
        <v>144</v>
      </c>
      <c r="I13" t="s">
        <v>190</v>
      </c>
      <c r="O13" t="s">
        <v>160</v>
      </c>
    </row>
    <row r="14" spans="1:16" x14ac:dyDescent="0.35">
      <c r="A14" t="s">
        <v>97</v>
      </c>
      <c r="B14" t="s">
        <v>92</v>
      </c>
      <c r="C14">
        <f>VLOOKUP(VLOOKUP(Table9162528313437[[#This Row],[Skills]],Table10[],2,FALSE),Table5[[Ability]:[Modifiers]],3,FALSE)+VLOOKUP(Table9162528313437[[#This Row],[Proficiency Level]],Table11[],3,FALSE)</f>
        <v>0</v>
      </c>
      <c r="H14" t="s">
        <v>145</v>
      </c>
      <c r="I14" t="s">
        <v>191</v>
      </c>
      <c r="O14" t="s">
        <v>161</v>
      </c>
    </row>
    <row r="15" spans="1:16" x14ac:dyDescent="0.35">
      <c r="A15" t="s">
        <v>98</v>
      </c>
      <c r="B15" t="s">
        <v>84</v>
      </c>
      <c r="C15">
        <f>VLOOKUP(VLOOKUP(Table9162528313437[[#This Row],[Skills]],Table10[],2,FALSE),Table5[[Ability]:[Modifiers]],3,FALSE)+VLOOKUP(Table9162528313437[[#This Row],[Proficiency Level]],Table11[],3,FALSE)</f>
        <v>11</v>
      </c>
      <c r="H15" t="s">
        <v>146</v>
      </c>
      <c r="I15" t="s">
        <v>192</v>
      </c>
      <c r="O15" t="s">
        <v>162</v>
      </c>
    </row>
    <row r="16" spans="1:16" x14ac:dyDescent="0.35">
      <c r="A16" t="s">
        <v>99</v>
      </c>
      <c r="B16" t="s">
        <v>92</v>
      </c>
      <c r="C16">
        <f>VLOOKUP(VLOOKUP(Table9162528313437[[#This Row],[Skills]],Table10[],2,FALSE),Table5[[Ability]:[Modifiers]],3,FALSE)+VLOOKUP(Table9162528313437[[#This Row],[Proficiency Level]],Table11[],3,FALSE)</f>
        <v>5</v>
      </c>
      <c r="E16" s="1" t="s">
        <v>88</v>
      </c>
      <c r="F16" s="9">
        <v>30</v>
      </c>
      <c r="H16" t="s">
        <v>147</v>
      </c>
      <c r="O16" t="s">
        <v>163</v>
      </c>
    </row>
    <row r="17" spans="1:24" x14ac:dyDescent="0.35">
      <c r="A17" t="s">
        <v>100</v>
      </c>
      <c r="B17" t="s">
        <v>84</v>
      </c>
      <c r="C17">
        <f>VLOOKUP(VLOOKUP(Table9162528313437[[#This Row],[Skills]],Table10[],2,FALSE),Table5[[Ability]:[Modifiers]],3,FALSE)+VLOOKUP(Table9162528313437[[#This Row],[Proficiency Level]],Table11[],3,FALSE)</f>
        <v>9</v>
      </c>
      <c r="E17" s="1" t="s">
        <v>115</v>
      </c>
      <c r="F17" s="10">
        <f>IF('Oni Nothic'!F10="Yes",VLOOKUP(F11,Table12[],2,FALSE)+'Oni Nothic'!F12+2+F13,VLOOKUP(F11,Table12[],2,FALSE)+'Oni Nothic'!F12+F13)+SUM(Table5586878990919495[Applied AC Bonus])</f>
        <v>21</v>
      </c>
      <c r="H17" t="s">
        <v>148</v>
      </c>
      <c r="O17" t="s">
        <v>164</v>
      </c>
    </row>
    <row r="18" spans="1:24" x14ac:dyDescent="0.35">
      <c r="A18" t="s">
        <v>101</v>
      </c>
      <c r="B18" t="s">
        <v>92</v>
      </c>
      <c r="C18">
        <f>VLOOKUP(VLOOKUP(Table9162528313437[[#This Row],[Skills]],Table10[],2,FALSE),Table5[[Ability]:[Modifiers]],3,FALSE)+VLOOKUP(Table9162528313437[[#This Row],[Proficiency Level]],Table11[],3,FALSE)</f>
        <v>2</v>
      </c>
      <c r="E18" s="1" t="s">
        <v>132</v>
      </c>
      <c r="F18" s="12">
        <f>SUM(Table13172629323538[[Average ]])</f>
        <v>356</v>
      </c>
      <c r="H18" t="s">
        <v>179</v>
      </c>
      <c r="O18" t="s">
        <v>165</v>
      </c>
      <c r="P18" t="s">
        <v>198</v>
      </c>
    </row>
    <row r="19" spans="1:24" x14ac:dyDescent="0.35">
      <c r="A19" t="s">
        <v>102</v>
      </c>
      <c r="B19" t="s">
        <v>92</v>
      </c>
      <c r="C19">
        <f>VLOOKUP(VLOOKUP(Table9162528313437[[#This Row],[Skills]],Table10[],2,FALSE),Table5[[Ability]:[Modifiers]],3,FALSE)+VLOOKUP(Table9162528313437[[#This Row],[Proficiency Level]],Table11[],3,FALSE)</f>
        <v>5</v>
      </c>
      <c r="E19" s="1" t="s">
        <v>178</v>
      </c>
      <c r="F19" s="10">
        <f>8+VLOOKUP("Intelligence",Table5152427303336[],3,FALSE)+VLOOKUP(F16,Proficiency[],2,FALSE)</f>
        <v>21</v>
      </c>
      <c r="H19" t="s">
        <v>180</v>
      </c>
      <c r="O19" t="s">
        <v>166</v>
      </c>
    </row>
    <row r="20" spans="1:24" x14ac:dyDescent="0.35">
      <c r="A20" t="s">
        <v>103</v>
      </c>
      <c r="B20" t="s">
        <v>92</v>
      </c>
      <c r="C20">
        <f>VLOOKUP(VLOOKUP(Table9162528313437[[#This Row],[Skills]],Table10[],2,FALSE),Table5[[Ability]:[Modifiers]],3,FALSE)+VLOOKUP(Table9162528313437[[#This Row],[Proficiency Level]],Table11[],3,FALSE)</f>
        <v>0</v>
      </c>
      <c r="H20" t="s">
        <v>181</v>
      </c>
      <c r="O20" s="18"/>
    </row>
    <row r="21" spans="1:24" x14ac:dyDescent="0.35">
      <c r="A21" t="s">
        <v>104</v>
      </c>
      <c r="B21" t="s">
        <v>92</v>
      </c>
      <c r="C21">
        <f>VLOOKUP(VLOOKUP(Table9162528313437[[#This Row],[Skills]],Table10[],2,FALSE),Table5[[Ability]:[Modifiers]],3,FALSE)+VLOOKUP(Table9162528313437[[#This Row],[Proficiency Level]],Table11[],3,FALSE)</f>
        <v>5</v>
      </c>
      <c r="E21" s="14" t="s">
        <v>209</v>
      </c>
      <c r="F21" s="10">
        <f>10+C22</f>
        <v>19</v>
      </c>
      <c r="H21" s="18"/>
    </row>
    <row r="22" spans="1:24" x14ac:dyDescent="0.35">
      <c r="A22" t="s">
        <v>105</v>
      </c>
      <c r="B22" t="s">
        <v>84</v>
      </c>
      <c r="C22">
        <f>VLOOKUP(VLOOKUP(Table9162528313437[[#This Row],[Skills]],Table10[],2,FALSE),Table5[[Ability]:[Modifiers]],3,FALSE)+VLOOKUP(Table9162528313437[[#This Row],[Proficiency Level]],Table11[],3,FALSE)</f>
        <v>9</v>
      </c>
      <c r="H22" s="18"/>
    </row>
    <row r="23" spans="1:24" x14ac:dyDescent="0.35">
      <c r="A23" t="s">
        <v>106</v>
      </c>
      <c r="B23" t="s">
        <v>92</v>
      </c>
      <c r="C23">
        <f>VLOOKUP(VLOOKUP(Table9162528313437[[#This Row],[Skills]],Table10[],2,FALSE),Table5[[Ability]:[Modifiers]],3,FALSE)+VLOOKUP(Table9162528313437[[#This Row],[Proficiency Level]],Table11[],3,FALSE)</f>
        <v>2</v>
      </c>
    </row>
    <row r="24" spans="1:24" x14ac:dyDescent="0.35">
      <c r="A24" t="s">
        <v>107</v>
      </c>
      <c r="B24" t="s">
        <v>92</v>
      </c>
      <c r="C24">
        <f>VLOOKUP(VLOOKUP(Table9162528313437[[#This Row],[Skills]],Table10[],2,FALSE),Table5[[Ability]:[Modifiers]],3,FALSE)+VLOOKUP(Table9162528313437[[#This Row],[Proficiency Level]],Table11[],3,FALSE)</f>
        <v>2</v>
      </c>
      <c r="H24" s="1" t="s">
        <v>199</v>
      </c>
    </row>
    <row r="25" spans="1:24" x14ac:dyDescent="0.35">
      <c r="A25" t="s">
        <v>108</v>
      </c>
      <c r="B25" t="s">
        <v>92</v>
      </c>
      <c r="C25">
        <f>VLOOKUP(VLOOKUP(Table9162528313437[[#This Row],[Skills]],Table10[],2,FALSE),Table5[[Ability]:[Modifiers]],3,FALSE)+VLOOKUP(Table9162528313437[[#This Row],[Proficiency Level]],Table11[],3,FALSE)</f>
        <v>5</v>
      </c>
      <c r="H25" s="18" t="s">
        <v>278</v>
      </c>
    </row>
    <row r="26" spans="1:24" x14ac:dyDescent="0.35">
      <c r="A26" t="s">
        <v>109</v>
      </c>
      <c r="B26" t="s">
        <v>92</v>
      </c>
      <c r="C26">
        <f>VLOOKUP(VLOOKUP(Table9162528313437[[#This Row],[Skills]],Table10[],2,FALSE),Table5[[Ability]:[Modifiers]],3,FALSE)+VLOOKUP(Table9162528313437[[#This Row],[Proficiency Level]],Table11[],3,FALSE)</f>
        <v>5</v>
      </c>
      <c r="H26" s="18" t="s">
        <v>279</v>
      </c>
    </row>
    <row r="27" spans="1:24" x14ac:dyDescent="0.35">
      <c r="A27" t="s">
        <v>110</v>
      </c>
      <c r="B27" t="s">
        <v>93</v>
      </c>
      <c r="C27">
        <f>VLOOKUP(VLOOKUP(Table9162528313437[[#This Row],[Skills]],Table10[],2,FALSE),Table5[[Ability]:[Modifiers]],3,FALSE)+VLOOKUP(Table9162528313437[[#This Row],[Proficiency Level]],Table11[],3,FALSE)</f>
        <v>23</v>
      </c>
      <c r="H27" s="18" t="s">
        <v>280</v>
      </c>
    </row>
    <row r="28" spans="1:24" x14ac:dyDescent="0.35">
      <c r="A28" t="s">
        <v>111</v>
      </c>
      <c r="B28" t="s">
        <v>92</v>
      </c>
      <c r="C28">
        <f>VLOOKUP(VLOOKUP(Table9162528313437[[#This Row],[Skills]],Table10[],2,FALSE),Table5[[Ability]:[Modifiers]],3,FALSE)+VLOOKUP(Table9162528313437[[#This Row],[Proficiency Level]],Table11[],3,FALSE)</f>
        <v>0</v>
      </c>
      <c r="H28" s="18" t="s">
        <v>202</v>
      </c>
    </row>
    <row r="29" spans="1:24" x14ac:dyDescent="0.35">
      <c r="H29" s="18" t="s">
        <v>228</v>
      </c>
      <c r="I29">
        <v>10</v>
      </c>
    </row>
    <row r="30" spans="1:24" x14ac:dyDescent="0.35">
      <c r="H30" s="18"/>
    </row>
    <row r="31" spans="1:24" x14ac:dyDescent="0.35">
      <c r="A31" t="s">
        <v>124</v>
      </c>
      <c r="B31" t="s">
        <v>125</v>
      </c>
      <c r="C31" t="s">
        <v>130</v>
      </c>
      <c r="D31" t="s">
        <v>133</v>
      </c>
      <c r="H31" s="32" t="s">
        <v>297</v>
      </c>
      <c r="I31" s="33" t="s">
        <v>513</v>
      </c>
      <c r="J31" s="33" t="s">
        <v>516</v>
      </c>
      <c r="K31" s="33" t="s">
        <v>81</v>
      </c>
      <c r="L31" s="33" t="s">
        <v>514</v>
      </c>
      <c r="M31" s="33" t="s">
        <v>515</v>
      </c>
      <c r="N31" s="33" t="s">
        <v>178</v>
      </c>
      <c r="O31" s="33" t="s">
        <v>351</v>
      </c>
      <c r="P31" s="33" t="s">
        <v>312</v>
      </c>
      <c r="Q31" s="33" t="s">
        <v>314</v>
      </c>
      <c r="R31" s="33" t="s">
        <v>522</v>
      </c>
      <c r="S31" s="33" t="s">
        <v>523</v>
      </c>
      <c r="T31" s="33" t="s">
        <v>524</v>
      </c>
      <c r="U31" s="33" t="s">
        <v>525</v>
      </c>
      <c r="V31" s="33" t="s">
        <v>320</v>
      </c>
      <c r="W31" s="33" t="s">
        <v>319</v>
      </c>
      <c r="X31" s="41" t="s">
        <v>517</v>
      </c>
    </row>
    <row r="32" spans="1:24" x14ac:dyDescent="0.35">
      <c r="A32" t="s">
        <v>126</v>
      </c>
      <c r="B32">
        <v>6</v>
      </c>
      <c r="C32">
        <v>20</v>
      </c>
      <c r="D32">
        <f>(((Table13172629323538[[#This Row],[Hit Dice]]/2)+0.5)+VLOOKUP("Constitution",Table5152427303336[[Ability]:[Modifiers]],3,FALSE))*Table13172629323538[[#This Row],[Levels]]</f>
        <v>130</v>
      </c>
      <c r="I32" t="s">
        <v>542</v>
      </c>
      <c r="J32" t="s">
        <v>519</v>
      </c>
      <c r="K32" t="s">
        <v>0</v>
      </c>
      <c r="L32">
        <v>12</v>
      </c>
      <c r="O32">
        <v>1</v>
      </c>
      <c r="P32">
        <v>8</v>
      </c>
      <c r="Q32">
        <v>4</v>
      </c>
      <c r="V32">
        <f>((Table80[[#This Row],[Damage Dice]]/2)*Table80[[#This Row],['# Dice]])+(Table80[[#This Row],[Bonus Damage Dice]]/2)*Table80[[#This Row],[Bonus '# Dice]]+Table80[[#This Row],[Bonus Damage]]</f>
        <v>8</v>
      </c>
      <c r="W32">
        <v>5</v>
      </c>
    </row>
    <row r="33" spans="1:23" x14ac:dyDescent="0.35">
      <c r="A33" t="s">
        <v>127</v>
      </c>
      <c r="B33">
        <v>10</v>
      </c>
      <c r="C33">
        <v>3</v>
      </c>
      <c r="D33" s="11">
        <f>(((Table13172629323538[[#This Row],[Hit Dice]]/2)+0.5)+VLOOKUP("Constitution",Table5152427303336[[Ability]:[Modifiers]],3,FALSE))*Table13172629323538[[#This Row],[Levels]]</f>
        <v>25.5</v>
      </c>
      <c r="I33" t="s">
        <v>330</v>
      </c>
      <c r="J33" t="s">
        <v>519</v>
      </c>
      <c r="K33" t="s">
        <v>0</v>
      </c>
      <c r="L33">
        <v>12</v>
      </c>
      <c r="O33">
        <v>2</v>
      </c>
      <c r="P33">
        <v>10</v>
      </c>
      <c r="Q33">
        <v>4</v>
      </c>
      <c r="V33">
        <f>((Table80[[#This Row],[Damage Dice]]/2)*Table80[[#This Row],['# Dice]])+(Table80[[#This Row],[Bonus Damage Dice]]/2)*Table80[[#This Row],[Bonus '# Dice]]+Table80[[#This Row],[Bonus Damage]]</f>
        <v>14</v>
      </c>
      <c r="W33">
        <v>10</v>
      </c>
    </row>
    <row r="34" spans="1:23" x14ac:dyDescent="0.35">
      <c r="A34" t="s">
        <v>128</v>
      </c>
      <c r="B34">
        <v>6</v>
      </c>
      <c r="C34">
        <v>3</v>
      </c>
      <c r="D34" s="11">
        <f>(((Table13172629323538[[#This Row],[Hit Dice]]/2)+0.5)+VLOOKUP("Constitution",Table5152427303336[[Ability]:[Modifiers]],3,FALSE))*Table13172629323538[[#This Row],[Levels]]</f>
        <v>19.5</v>
      </c>
      <c r="I34" t="s">
        <v>543</v>
      </c>
      <c r="J34" t="s">
        <v>89</v>
      </c>
      <c r="M34" t="s">
        <v>2</v>
      </c>
      <c r="N34">
        <v>20</v>
      </c>
      <c r="O34">
        <v>3</v>
      </c>
      <c r="P34">
        <v>6</v>
      </c>
      <c r="V34">
        <f>((Table80[[#This Row],[Damage Dice]]/2)*Table80[[#This Row],['# Dice]])+(Table80[[#This Row],[Bonus Damage Dice]]/2)*Table80[[#This Row],[Bonus '# Dice]]+Table80[[#This Row],[Bonus Damage]]</f>
        <v>9</v>
      </c>
      <c r="W34">
        <v>30</v>
      </c>
    </row>
    <row r="35" spans="1:23" x14ac:dyDescent="0.35">
      <c r="A35" t="s">
        <v>129</v>
      </c>
      <c r="B35">
        <v>10</v>
      </c>
      <c r="C35">
        <v>3</v>
      </c>
      <c r="D35" s="11">
        <f>(((Table13172629323538[[#This Row],[Hit Dice]]/2)+0.5)+VLOOKUP("Constitution",Table5152427303336[[Ability]:[Modifiers]],3,FALSE))*Table13172629323538[[#This Row],[Levels]]</f>
        <v>25.5</v>
      </c>
    </row>
    <row r="36" spans="1:23" x14ac:dyDescent="0.35">
      <c r="A36" t="s">
        <v>277</v>
      </c>
      <c r="B36">
        <v>10</v>
      </c>
      <c r="C36">
        <v>13</v>
      </c>
      <c r="D36" s="11">
        <f>(((Table13172629323538[[#This Row],[Hit Dice]]/2)+0.5)+VLOOKUP("Constitution",Table5152427303336[[Ability]:[Modifiers]],3,FALSE))*Table13172629323538[[#This Row],[Levels]]</f>
        <v>110.5</v>
      </c>
    </row>
    <row r="37" spans="1:23" x14ac:dyDescent="0.35">
      <c r="A37" t="s">
        <v>276</v>
      </c>
      <c r="B37">
        <v>8</v>
      </c>
      <c r="C37">
        <v>6</v>
      </c>
      <c r="D37" s="2">
        <f>(((Table13172629323538[[#This Row],[Hit Dice]]/2)+0.5)+VLOOKUP("Constitution",Table5152427303336[[Ability]:[Modifiers]],3,FALSE))*Table13172629323538[[#This Row],[Levels]]</f>
        <v>45</v>
      </c>
      <c r="H37" t="s">
        <v>628</v>
      </c>
    </row>
    <row r="38" spans="1:23" x14ac:dyDescent="0.35">
      <c r="H38" s="1" t="s">
        <v>631</v>
      </c>
      <c r="I38" s="1" t="s">
        <v>498</v>
      </c>
      <c r="J38" s="1" t="s">
        <v>629</v>
      </c>
      <c r="K38" s="1" t="s">
        <v>634</v>
      </c>
    </row>
    <row r="39" spans="1:23" x14ac:dyDescent="0.35">
      <c r="A39" s="13" t="s">
        <v>167</v>
      </c>
      <c r="H39" s="9" t="s">
        <v>87</v>
      </c>
      <c r="I39" t="s">
        <v>630</v>
      </c>
      <c r="J39">
        <v>2</v>
      </c>
      <c r="K39" t="str">
        <f>IF(Table5586878990919495[[#This Row],[Active]]="Yes",Table5586878990919495[[#This Row],[AC Bonus]],"")</f>
        <v/>
      </c>
    </row>
    <row r="40" spans="1:23" x14ac:dyDescent="0.35">
      <c r="A40" s="1" t="s">
        <v>50</v>
      </c>
      <c r="B40" s="1" t="s">
        <v>171</v>
      </c>
      <c r="H40" s="9" t="s">
        <v>87</v>
      </c>
      <c r="I40" t="s">
        <v>632</v>
      </c>
      <c r="J40">
        <v>2</v>
      </c>
      <c r="K40" t="str">
        <f>IF(Table5586878990919495[[#This Row],[Active]]="Yes",Table5586878990919495[[#This Row],[AC Bonus]],"")</f>
        <v/>
      </c>
    </row>
    <row r="41" spans="1:23" x14ac:dyDescent="0.35">
      <c r="A41">
        <v>1</v>
      </c>
      <c r="B41" t="s">
        <v>47</v>
      </c>
      <c r="H41" s="9" t="s">
        <v>87</v>
      </c>
      <c r="I41" t="s">
        <v>633</v>
      </c>
      <c r="J41">
        <v>1</v>
      </c>
      <c r="K41" t="str">
        <f>IF(Table5586878990919495[[#This Row],[Active]]="Yes",Table5586878990919495[[#This Row],[AC Bonus]],"")</f>
        <v/>
      </c>
    </row>
    <row r="42" spans="1:23" x14ac:dyDescent="0.35">
      <c r="A42">
        <v>1</v>
      </c>
      <c r="B42" t="s">
        <v>170</v>
      </c>
      <c r="H42" s="9" t="s">
        <v>87</v>
      </c>
      <c r="I42" t="s">
        <v>44</v>
      </c>
      <c r="J42">
        <v>2</v>
      </c>
      <c r="K42" t="str">
        <f>IF(Table5586878990919495[[#This Row],[Active]]="Yes",Table5586878990919495[[#This Row],[AC Bonus]],"")</f>
        <v/>
      </c>
    </row>
    <row r="43" spans="1:23" x14ac:dyDescent="0.35">
      <c r="A43">
        <v>2</v>
      </c>
      <c r="B43" t="s">
        <v>168</v>
      </c>
      <c r="H43" s="54" t="s">
        <v>87</v>
      </c>
      <c r="I43" s="38" t="s">
        <v>160</v>
      </c>
      <c r="J43" s="38">
        <v>5</v>
      </c>
      <c r="K43" s="55" t="str">
        <f>IF(Table5586878990919495[[#This Row],[Active]]="Yes",Table5586878990919495[[#This Row],[AC Bonus]],"")</f>
        <v/>
      </c>
    </row>
    <row r="44" spans="1:23" x14ac:dyDescent="0.35">
      <c r="A44">
        <v>2</v>
      </c>
      <c r="B44" t="s">
        <v>169</v>
      </c>
      <c r="H44" s="54"/>
      <c r="I44" s="38" t="s">
        <v>658</v>
      </c>
      <c r="J44" s="38">
        <v>2</v>
      </c>
      <c r="K44" s="55" t="str">
        <f>IF(Table5586878990919495[[#This Row],[Active]]="Yes",Table5586878990919495[[#This Row],[AC Bonus]],"")</f>
        <v/>
      </c>
    </row>
    <row r="45" spans="1:23" x14ac:dyDescent="0.35">
      <c r="H45" s="54"/>
      <c r="I45" s="38" t="s">
        <v>659</v>
      </c>
      <c r="J45" s="38">
        <v>5</v>
      </c>
      <c r="K45" s="55" t="str">
        <f>IF(Table5586878990919495[[#This Row],[Active]]="Yes",Table5586878990919495[[#This Row],[AC Bonus]],"")</f>
        <v/>
      </c>
    </row>
    <row r="46" spans="1:23" x14ac:dyDescent="0.35">
      <c r="A46" s="13" t="s">
        <v>172</v>
      </c>
    </row>
    <row r="47" spans="1:23" x14ac:dyDescent="0.35">
      <c r="A47" s="1" t="s">
        <v>50</v>
      </c>
      <c r="B47" s="1" t="s">
        <v>171</v>
      </c>
    </row>
    <row r="48" spans="1:23" x14ac:dyDescent="0.35">
      <c r="A48">
        <v>1</v>
      </c>
      <c r="B48" t="s">
        <v>173</v>
      </c>
    </row>
    <row r="49" spans="1:2" x14ac:dyDescent="0.35">
      <c r="A49">
        <v>1</v>
      </c>
      <c r="B49" t="s">
        <v>49</v>
      </c>
    </row>
    <row r="50" spans="1:2" x14ac:dyDescent="0.35">
      <c r="A50">
        <v>1</v>
      </c>
      <c r="B50" t="s">
        <v>174</v>
      </c>
    </row>
    <row r="51" spans="1:2" x14ac:dyDescent="0.35">
      <c r="A51">
        <v>1</v>
      </c>
      <c r="B51" t="s">
        <v>175</v>
      </c>
    </row>
    <row r="52" spans="1:2" x14ac:dyDescent="0.35">
      <c r="A52">
        <v>1</v>
      </c>
      <c r="B52" t="s">
        <v>47</v>
      </c>
    </row>
    <row r="53" spans="1:2" x14ac:dyDescent="0.35">
      <c r="A53">
        <v>1</v>
      </c>
      <c r="B53" t="s">
        <v>176</v>
      </c>
    </row>
    <row r="55" spans="1:2" x14ac:dyDescent="0.35">
      <c r="A55" s="13" t="s">
        <v>275</v>
      </c>
    </row>
    <row r="56" spans="1:2" x14ac:dyDescent="0.35">
      <c r="A56" s="1" t="s">
        <v>50</v>
      </c>
      <c r="B56" s="1" t="s">
        <v>171</v>
      </c>
    </row>
    <row r="61" spans="1:2" x14ac:dyDescent="0.35">
      <c r="A61" s="13"/>
    </row>
    <row r="62" spans="1:2" x14ac:dyDescent="0.35">
      <c r="A62" s="1"/>
      <c r="B62" s="1"/>
    </row>
  </sheetData>
  <pageMargins left="0.7" right="0.7" top="0.75" bottom="0.75" header="0.3" footer="0.3"/>
  <pageSetup orientation="portrait" r:id="rId1"/>
  <tableParts count="5">
    <tablePart r:id="rId2"/>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E9CC2F97-7315-4AD0-8EC4-0906841A6DD5}">
          <x14:formula1>
            <xm:f>'Rules of the Game'!$D$1:$D$2</xm:f>
          </x14:formula1>
          <xm:sqref>D2:D7 F10 H39:H45</xm:sqref>
        </x14:dataValidation>
        <x14:dataValidation type="list" allowBlank="1" showInputMessage="1" showErrorMessage="1" xr:uid="{CEC43602-8705-4ECF-911C-805036AD4A1F}">
          <x14:formula1>
            <xm:f>'Rules of the Game'!$D$4:$D$6</xm:f>
          </x14:formula1>
          <xm:sqref>B11:B28</xm:sqref>
        </x14:dataValidation>
        <x14:dataValidation type="list" allowBlank="1" showInputMessage="1" showErrorMessage="1" xr:uid="{457956C0-43BA-4454-BF7E-7B2A7D3B7624}">
          <x14:formula1>
            <xm:f>'Rules of the Game'!$D$42:$D$53</xm:f>
          </x14:formula1>
          <xm:sqref>F11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1C97D-C079-4534-848A-FA578F0D1527}">
  <sheetPr codeName="Sheet12"/>
  <dimension ref="A1:V61"/>
  <sheetViews>
    <sheetView topLeftCell="A15" zoomScale="110" zoomScaleNormal="100" workbookViewId="0">
      <selection activeCell="G49" sqref="G49"/>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21.54296875" bestFit="1" customWidth="1"/>
    <col min="7" max="7" width="14.54296875" bestFit="1" customWidth="1"/>
    <col min="8" max="8" width="27.1796875" bestFit="1" customWidth="1"/>
    <col min="9" max="9" width="12.81640625" customWidth="1"/>
    <col min="10" max="10" width="12.54296875" customWidth="1"/>
    <col min="11" max="11" width="10.7265625" customWidth="1"/>
    <col min="12" max="12" width="9.1796875" customWidth="1"/>
    <col min="14" max="14" width="13.26953125" customWidth="1"/>
    <col min="15" max="15" width="27.1796875" bestFit="1" customWidth="1"/>
    <col min="16" max="16" width="13.1796875" customWidth="1"/>
    <col min="17" max="17" width="18.81640625" customWidth="1"/>
    <col min="18" max="18" width="19.7265625" customWidth="1"/>
    <col min="19" max="19" width="18.1796875" customWidth="1"/>
    <col min="20" max="20" width="16.54296875" customWidth="1"/>
    <col min="22" max="22" width="11.453125"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13</v>
      </c>
      <c r="C2">
        <f>VLOOKUP(Table515242730333639[[#This Row],[Score]],Modifier[],2,FALSE)</f>
        <v>1</v>
      </c>
      <c r="D2" t="s">
        <v>87</v>
      </c>
      <c r="E2">
        <f>IF(Table515242730333639[[#This Row],[Proficiency?]]="No",Table515242730333639[[#This Row],[Modifiers]],VLOOKUP($F$16,Proficiency[],2,FALSE)+Table515242730333639[[#This Row],[Modifiers]])</f>
        <v>1</v>
      </c>
      <c r="H2" t="s">
        <v>136</v>
      </c>
      <c r="I2" t="s">
        <v>177</v>
      </c>
      <c r="O2" t="s">
        <v>151</v>
      </c>
      <c r="P2" t="s">
        <v>182</v>
      </c>
    </row>
    <row r="3" spans="1:16" x14ac:dyDescent="0.35">
      <c r="A3" t="s">
        <v>1</v>
      </c>
      <c r="B3">
        <v>19</v>
      </c>
      <c r="C3">
        <f>VLOOKUP(Table515242730333639[[#This Row],[Score]],Modifier[],2,FALSE)</f>
        <v>4</v>
      </c>
      <c r="D3" t="s">
        <v>87</v>
      </c>
      <c r="E3">
        <f>IF(Table515242730333639[[#This Row],[Proficiency?]]="No",Table515242730333639[[#This Row],[Modifiers]],VLOOKUP($F$16,Proficiency[],2,FALSE)+Table515242730333639[[#This Row],[Modifiers]])</f>
        <v>4</v>
      </c>
      <c r="H3" t="s">
        <v>137</v>
      </c>
      <c r="I3" t="s">
        <v>184</v>
      </c>
      <c r="O3" t="s">
        <v>152</v>
      </c>
    </row>
    <row r="4" spans="1:16" x14ac:dyDescent="0.35">
      <c r="A4" t="s">
        <v>2</v>
      </c>
      <c r="B4">
        <v>16</v>
      </c>
      <c r="C4">
        <f>VLOOKUP(Table515242730333639[[#This Row],[Score]],Modifier[],2,FALSE)</f>
        <v>3</v>
      </c>
      <c r="D4" t="s">
        <v>86</v>
      </c>
      <c r="E4">
        <f>IF(Table515242730333639[[#This Row],[Proficiency?]]="No",Table515242730333639[[#This Row],[Modifiers]],VLOOKUP($F$16,Proficiency[],2,FALSE)+Table515242730333639[[#This Row],[Modifiers]])</f>
        <v>11</v>
      </c>
      <c r="H4" t="s">
        <v>138</v>
      </c>
      <c r="I4" t="s">
        <v>185</v>
      </c>
      <c r="O4" t="s">
        <v>153</v>
      </c>
    </row>
    <row r="5" spans="1:16" x14ac:dyDescent="0.35">
      <c r="A5" t="s">
        <v>3</v>
      </c>
      <c r="B5">
        <v>20</v>
      </c>
      <c r="C5">
        <f>VLOOKUP(Table515242730333639[[#This Row],[Score]],Modifier[],2,FALSE)</f>
        <v>5</v>
      </c>
      <c r="D5" t="s">
        <v>86</v>
      </c>
      <c r="E5">
        <f>IF(Table515242730333639[[#This Row],[Proficiency?]]="No",Table515242730333639[[#This Row],[Modifiers]],VLOOKUP($F$16,Proficiency[],2,FALSE)+Table515242730333639[[#This Row],[Modifiers]])</f>
        <v>13</v>
      </c>
      <c r="H5" t="s">
        <v>186</v>
      </c>
      <c r="O5" t="s">
        <v>154</v>
      </c>
    </row>
    <row r="6" spans="1:16" x14ac:dyDescent="0.35">
      <c r="A6" t="s">
        <v>4</v>
      </c>
      <c r="B6">
        <v>11</v>
      </c>
      <c r="C6">
        <f>VLOOKUP(Table515242730333639[[#This Row],[Score]],Modifier[],2,FALSE)</f>
        <v>0</v>
      </c>
      <c r="D6" t="s">
        <v>86</v>
      </c>
      <c r="E6">
        <f>IF(Table515242730333639[[#This Row],[Proficiency?]]="No",Table515242730333639[[#This Row],[Modifiers]],VLOOKUP($F$16,Proficiency[],2,FALSE)+Table515242730333639[[#This Row],[Modifiers]])</f>
        <v>8</v>
      </c>
      <c r="H6" t="s">
        <v>139</v>
      </c>
      <c r="I6" t="s">
        <v>187</v>
      </c>
      <c r="O6" t="s">
        <v>155</v>
      </c>
    </row>
    <row r="7" spans="1:16" x14ac:dyDescent="0.35">
      <c r="A7" t="s">
        <v>5</v>
      </c>
      <c r="B7">
        <v>14</v>
      </c>
      <c r="C7">
        <f>VLOOKUP(Table515242730333639[[#This Row],[Score]],Modifier[],2,FALSE)</f>
        <v>2</v>
      </c>
      <c r="D7" t="s">
        <v>87</v>
      </c>
      <c r="E7">
        <f>IF(Table515242730333639[[#This Row],[Proficiency?]]="No",Table515242730333639[[#This Row],[Modifiers]],VLOOKUP($F$16,Proficiency[],2,FALSE)+Table515242730333639[[#This Row],[Modifiers]])</f>
        <v>2</v>
      </c>
      <c r="H7" t="s">
        <v>140</v>
      </c>
      <c r="I7" t="s">
        <v>188</v>
      </c>
      <c r="O7" t="s">
        <v>154</v>
      </c>
    </row>
    <row r="8" spans="1:16" x14ac:dyDescent="0.35">
      <c r="H8" t="s">
        <v>141</v>
      </c>
      <c r="I8" t="s">
        <v>189</v>
      </c>
      <c r="O8" t="s">
        <v>156</v>
      </c>
    </row>
    <row r="9" spans="1:16" x14ac:dyDescent="0.35">
      <c r="H9" s="18"/>
      <c r="I9" t="s">
        <v>245</v>
      </c>
    </row>
    <row r="10" spans="1:16" x14ac:dyDescent="0.35">
      <c r="A10" t="s">
        <v>90</v>
      </c>
      <c r="B10" t="s">
        <v>91</v>
      </c>
      <c r="C10" t="s">
        <v>13</v>
      </c>
      <c r="E10" t="s">
        <v>116</v>
      </c>
      <c r="F10" s="9" t="s">
        <v>86</v>
      </c>
      <c r="O10" s="1" t="s">
        <v>157</v>
      </c>
      <c r="P10" s="1" t="s">
        <v>135</v>
      </c>
    </row>
    <row r="11" spans="1:16" x14ac:dyDescent="0.35">
      <c r="A11" t="s">
        <v>94</v>
      </c>
      <c r="B11" t="s">
        <v>84</v>
      </c>
      <c r="C11">
        <f>VLOOKUP(VLOOKUP(Table916252831343740[[#This Row],[Skills]],Table10[],2,FALSE),Table5[[Ability]:[Modifiers]],3,FALSE)+VLOOKUP(Table916252831343740[[#This Row],[Proficiency Level]],Table11[],3,FALSE)</f>
        <v>14</v>
      </c>
      <c r="E11" t="s">
        <v>117</v>
      </c>
      <c r="F11" s="9" t="s">
        <v>48</v>
      </c>
      <c r="H11" s="1" t="s">
        <v>142</v>
      </c>
      <c r="I11" s="1" t="s">
        <v>135</v>
      </c>
      <c r="O11" t="s">
        <v>158</v>
      </c>
    </row>
    <row r="12" spans="1:16" x14ac:dyDescent="0.35">
      <c r="A12" t="s">
        <v>95</v>
      </c>
      <c r="B12" t="s">
        <v>92</v>
      </c>
      <c r="C12">
        <f>VLOOKUP(VLOOKUP(Table916252831343740[[#This Row],[Skills]],Table10[],2,FALSE),Table5[[Ability]:[Modifiers]],3,FALSE)+VLOOKUP(Table916252831343740[[#This Row],[Proficiency Level]],Table11[],3,FALSE)</f>
        <v>0</v>
      </c>
      <c r="E12" t="s">
        <v>122</v>
      </c>
      <c r="F12" s="10">
        <f>IF(ISNUMBER(VLOOKUP('Ghost (CR 16)'!F11,Table12[],3,FALSE))=FALSE,IF(VLOOKUP('Ghost (CR 16)'!F11,Table12[],3,FALSE)="Yes",'Ghost (CR 16)'!$C$3,0),VLOOKUP('Ghost (CR 16)'!F11,Table12[],3,FALSE))</f>
        <v>4</v>
      </c>
      <c r="H12" t="s">
        <v>143</v>
      </c>
      <c r="I12" t="s">
        <v>183</v>
      </c>
      <c r="O12" t="s">
        <v>159</v>
      </c>
    </row>
    <row r="13" spans="1:16" x14ac:dyDescent="0.35">
      <c r="A13" t="s">
        <v>96</v>
      </c>
      <c r="B13" t="s">
        <v>84</v>
      </c>
      <c r="C13">
        <f>VLOOKUP(VLOOKUP(Table916252831343740[[#This Row],[Skills]],Table10[],2,FALSE),Table5[[Ability]:[Modifiers]],3,FALSE)+VLOOKUP(Table916252831343740[[#This Row],[Proficiency Level]],Table11[],3,FALSE)</f>
        <v>14</v>
      </c>
      <c r="E13" t="s">
        <v>123</v>
      </c>
      <c r="F13" s="9">
        <v>1</v>
      </c>
      <c r="H13" t="s">
        <v>144</v>
      </c>
      <c r="I13" t="s">
        <v>190</v>
      </c>
      <c r="O13" t="s">
        <v>160</v>
      </c>
    </row>
    <row r="14" spans="1:16" x14ac:dyDescent="0.35">
      <c r="A14" t="s">
        <v>97</v>
      </c>
      <c r="B14" t="s">
        <v>92</v>
      </c>
      <c r="C14">
        <f>VLOOKUP(VLOOKUP(Table916252831343740[[#This Row],[Skills]],Table10[],2,FALSE),Table5[[Ability]:[Modifiers]],3,FALSE)+VLOOKUP(Table916252831343740[[#This Row],[Proficiency Level]],Table11[],3,FALSE)</f>
        <v>0</v>
      </c>
      <c r="H14" t="s">
        <v>145</v>
      </c>
      <c r="I14" t="s">
        <v>191</v>
      </c>
      <c r="O14" t="s">
        <v>161</v>
      </c>
    </row>
    <row r="15" spans="1:16" x14ac:dyDescent="0.35">
      <c r="A15" t="s">
        <v>98</v>
      </c>
      <c r="B15" t="s">
        <v>84</v>
      </c>
      <c r="C15">
        <f>VLOOKUP(VLOOKUP(Table916252831343740[[#This Row],[Skills]],Table10[],2,FALSE),Table5[[Ability]:[Modifiers]],3,FALSE)+VLOOKUP(Table916252831343740[[#This Row],[Proficiency Level]],Table11[],3,FALSE)</f>
        <v>11</v>
      </c>
      <c r="H15" t="s">
        <v>146</v>
      </c>
      <c r="I15" t="s">
        <v>192</v>
      </c>
      <c r="O15" t="s">
        <v>162</v>
      </c>
    </row>
    <row r="16" spans="1:16" x14ac:dyDescent="0.35">
      <c r="A16" t="s">
        <v>99</v>
      </c>
      <c r="B16" t="s">
        <v>92</v>
      </c>
      <c r="C16">
        <f>VLOOKUP(VLOOKUP(Table916252831343740[[#This Row],[Skills]],Table10[],2,FALSE),Table5[[Ability]:[Modifiers]],3,FALSE)+VLOOKUP(Table916252831343740[[#This Row],[Proficiency Level]],Table11[],3,FALSE)</f>
        <v>5</v>
      </c>
      <c r="E16" s="1" t="s">
        <v>88</v>
      </c>
      <c r="F16" s="9">
        <v>30</v>
      </c>
      <c r="H16" t="s">
        <v>147</v>
      </c>
      <c r="O16" t="s">
        <v>163</v>
      </c>
    </row>
    <row r="17" spans="1:16" x14ac:dyDescent="0.35">
      <c r="A17" t="s">
        <v>100</v>
      </c>
      <c r="B17" t="s">
        <v>84</v>
      </c>
      <c r="C17">
        <f>VLOOKUP(VLOOKUP(Table916252831343740[[#This Row],[Skills]],Table10[],2,FALSE),Table5[[Ability]:[Modifiers]],3,FALSE)+VLOOKUP(Table916252831343740[[#This Row],[Proficiency Level]],Table11[],3,FALSE)</f>
        <v>9</v>
      </c>
      <c r="E17" s="1" t="s">
        <v>115</v>
      </c>
      <c r="F17" s="10">
        <f>IF('Ghost (CR 16)'!F10="Yes",VLOOKUP(F11,Table12[],2,FALSE)+'Ghost (CR 16)'!F12+2+F13,VLOOKUP(F11,Table12[],2,FALSE)+'Ghost (CR 16)'!F12+F13)+SUM(Table558687899091949597[Applied AC Bonus])</f>
        <v>20</v>
      </c>
      <c r="H17" t="s">
        <v>148</v>
      </c>
      <c r="O17" t="s">
        <v>164</v>
      </c>
    </row>
    <row r="18" spans="1:16" x14ac:dyDescent="0.35">
      <c r="A18" t="s">
        <v>101</v>
      </c>
      <c r="B18" t="s">
        <v>92</v>
      </c>
      <c r="C18">
        <f>VLOOKUP(VLOOKUP(Table916252831343740[[#This Row],[Skills]],Table10[],2,FALSE),Table5[[Ability]:[Modifiers]],3,FALSE)+VLOOKUP(Table916252831343740[[#This Row],[Proficiency Level]],Table11[],3,FALSE)</f>
        <v>2</v>
      </c>
      <c r="E18" s="1" t="s">
        <v>132</v>
      </c>
      <c r="F18" s="12">
        <f>SUM(Table1317262932353841[[Average ]])</f>
        <v>305.5</v>
      </c>
      <c r="H18" t="s">
        <v>179</v>
      </c>
      <c r="O18" t="s">
        <v>165</v>
      </c>
      <c r="P18" t="s">
        <v>198</v>
      </c>
    </row>
    <row r="19" spans="1:16" x14ac:dyDescent="0.35">
      <c r="A19" t="s">
        <v>102</v>
      </c>
      <c r="B19" t="s">
        <v>92</v>
      </c>
      <c r="C19">
        <f>VLOOKUP(VLOOKUP(Table916252831343740[[#This Row],[Skills]],Table10[],2,FALSE),Table5[[Ability]:[Modifiers]],3,FALSE)+VLOOKUP(Table916252831343740[[#This Row],[Proficiency Level]],Table11[],3,FALSE)</f>
        <v>5</v>
      </c>
      <c r="E19" s="1" t="s">
        <v>178</v>
      </c>
      <c r="F19" s="10">
        <f>8+VLOOKUP("Intelligence",Table515242730333639[],3,FALSE)+VLOOKUP(F16,Proficiency[],2,FALSE)</f>
        <v>21</v>
      </c>
      <c r="H19" t="s">
        <v>180</v>
      </c>
      <c r="O19" t="s">
        <v>166</v>
      </c>
    </row>
    <row r="20" spans="1:16" x14ac:dyDescent="0.35">
      <c r="A20" t="s">
        <v>103</v>
      </c>
      <c r="B20" t="s">
        <v>92</v>
      </c>
      <c r="C20">
        <f>VLOOKUP(VLOOKUP(Table916252831343740[[#This Row],[Skills]],Table10[],2,FALSE),Table5[[Ability]:[Modifiers]],3,FALSE)+VLOOKUP(Table916252831343740[[#This Row],[Proficiency Level]],Table11[],3,FALSE)</f>
        <v>0</v>
      </c>
      <c r="H20" t="s">
        <v>181</v>
      </c>
      <c r="O20" s="18"/>
    </row>
    <row r="21" spans="1:16" x14ac:dyDescent="0.35">
      <c r="A21" t="s">
        <v>104</v>
      </c>
      <c r="B21" t="s">
        <v>92</v>
      </c>
      <c r="C21">
        <f>VLOOKUP(VLOOKUP(Table916252831343740[[#This Row],[Skills]],Table10[],2,FALSE),Table5[[Ability]:[Modifiers]],3,FALSE)+VLOOKUP(Table916252831343740[[#This Row],[Proficiency Level]],Table11[],3,FALSE)</f>
        <v>5</v>
      </c>
      <c r="E21" s="14" t="s">
        <v>209</v>
      </c>
      <c r="F21" s="10">
        <f>10+C22</f>
        <v>19</v>
      </c>
      <c r="H21" s="17" t="s">
        <v>288</v>
      </c>
    </row>
    <row r="22" spans="1:16" x14ac:dyDescent="0.35">
      <c r="A22" t="s">
        <v>105</v>
      </c>
      <c r="B22" t="s">
        <v>84</v>
      </c>
      <c r="C22">
        <f>VLOOKUP(VLOOKUP(Table916252831343740[[#This Row],[Skills]],Table10[],2,FALSE),Table5[[Ability]:[Modifiers]],3,FALSE)+VLOOKUP(Table916252831343740[[#This Row],[Proficiency Level]],Table11[],3,FALSE)</f>
        <v>9</v>
      </c>
      <c r="H22" s="17" t="s">
        <v>289</v>
      </c>
    </row>
    <row r="23" spans="1:16" x14ac:dyDescent="0.35">
      <c r="A23" t="s">
        <v>106</v>
      </c>
      <c r="B23" t="s">
        <v>92</v>
      </c>
      <c r="C23">
        <f>VLOOKUP(VLOOKUP(Table916252831343740[[#This Row],[Skills]],Table10[],2,FALSE),Table5[[Ability]:[Modifiers]],3,FALSE)+VLOOKUP(Table916252831343740[[#This Row],[Proficiency Level]],Table11[],3,FALSE)</f>
        <v>2</v>
      </c>
      <c r="H23" s="17" t="s">
        <v>290</v>
      </c>
    </row>
    <row r="24" spans="1:16" x14ac:dyDescent="0.35">
      <c r="A24" t="s">
        <v>107</v>
      </c>
      <c r="B24" t="s">
        <v>92</v>
      </c>
      <c r="C24">
        <f>VLOOKUP(VLOOKUP(Table916252831343740[[#This Row],[Skills]],Table10[],2,FALSE),Table5[[Ability]:[Modifiers]],3,FALSE)+VLOOKUP(Table916252831343740[[#This Row],[Proficiency Level]],Table11[],3,FALSE)</f>
        <v>2</v>
      </c>
      <c r="H24" s="17" t="s">
        <v>291</v>
      </c>
    </row>
    <row r="25" spans="1:16" x14ac:dyDescent="0.35">
      <c r="A25" t="s">
        <v>108</v>
      </c>
      <c r="B25" t="s">
        <v>92</v>
      </c>
      <c r="C25">
        <f>VLOOKUP(VLOOKUP(Table916252831343740[[#This Row],[Skills]],Table10[],2,FALSE),Table5[[Ability]:[Modifiers]],3,FALSE)+VLOOKUP(Table916252831343740[[#This Row],[Proficiency Level]],Table11[],3,FALSE)</f>
        <v>5</v>
      </c>
    </row>
    <row r="26" spans="1:16" x14ac:dyDescent="0.35">
      <c r="A26" t="s">
        <v>109</v>
      </c>
      <c r="B26" t="s">
        <v>92</v>
      </c>
      <c r="C26">
        <f>VLOOKUP(VLOOKUP(Table916252831343740[[#This Row],[Skills]],Table10[],2,FALSE),Table5[[Ability]:[Modifiers]],3,FALSE)+VLOOKUP(Table916252831343740[[#This Row],[Proficiency Level]],Table11[],3,FALSE)</f>
        <v>5</v>
      </c>
    </row>
    <row r="27" spans="1:16" x14ac:dyDescent="0.35">
      <c r="A27" t="s">
        <v>110</v>
      </c>
      <c r="B27" t="s">
        <v>93</v>
      </c>
      <c r="C27">
        <f>VLOOKUP(VLOOKUP(Table916252831343740[[#This Row],[Skills]],Table10[],2,FALSE),Table5[[Ability]:[Modifiers]],3,FALSE)+VLOOKUP(Table916252831343740[[#This Row],[Proficiency Level]],Table11[],3,FALSE)</f>
        <v>23</v>
      </c>
      <c r="H27" s="1" t="s">
        <v>199</v>
      </c>
    </row>
    <row r="28" spans="1:16" x14ac:dyDescent="0.35">
      <c r="A28" t="s">
        <v>111</v>
      </c>
      <c r="B28" t="s">
        <v>92</v>
      </c>
      <c r="C28">
        <f>VLOOKUP(VLOOKUP(Table916252831343740[[#This Row],[Skills]],Table10[],2,FALSE),Table5[[Ability]:[Modifiers]],3,FALSE)+VLOOKUP(Table916252831343740[[#This Row],[Proficiency Level]],Table11[],3,FALSE)</f>
        <v>0</v>
      </c>
      <c r="H28" s="18" t="s">
        <v>225</v>
      </c>
      <c r="I28" t="s">
        <v>283</v>
      </c>
    </row>
    <row r="29" spans="1:16" x14ac:dyDescent="0.35">
      <c r="H29" s="18" t="s">
        <v>281</v>
      </c>
      <c r="I29" t="s">
        <v>284</v>
      </c>
    </row>
    <row r="30" spans="1:16" x14ac:dyDescent="0.35">
      <c r="H30" s="18" t="s">
        <v>282</v>
      </c>
      <c r="I30" t="s">
        <v>285</v>
      </c>
    </row>
    <row r="31" spans="1:16" x14ac:dyDescent="0.35">
      <c r="A31" t="s">
        <v>124</v>
      </c>
      <c r="B31" t="s">
        <v>125</v>
      </c>
      <c r="C31" t="s">
        <v>130</v>
      </c>
      <c r="D31" t="s">
        <v>133</v>
      </c>
      <c r="H31" s="18" t="s">
        <v>286</v>
      </c>
    </row>
    <row r="32" spans="1:16" x14ac:dyDescent="0.35">
      <c r="A32" t="s">
        <v>126</v>
      </c>
      <c r="B32">
        <v>6</v>
      </c>
      <c r="C32">
        <v>20</v>
      </c>
      <c r="D32">
        <f>(((Table1317262932353841[[#This Row],[Hit Dice]]/2)+0.5)+VLOOKUP("Constitution",Table515242730333639[[Ability]:[Modifiers]],3,FALSE))*Table1317262932353841[[#This Row],[Levels]]</f>
        <v>130</v>
      </c>
      <c r="H32" s="18" t="s">
        <v>287</v>
      </c>
    </row>
    <row r="33" spans="1:22" x14ac:dyDescent="0.35">
      <c r="A33" t="s">
        <v>127</v>
      </c>
      <c r="B33">
        <v>10</v>
      </c>
      <c r="C33">
        <v>3</v>
      </c>
      <c r="D33" s="11">
        <f>(((Table1317262932353841[[#This Row],[Hit Dice]]/2)+0.5)+VLOOKUP("Constitution",Table515242730333639[[Ability]:[Modifiers]],3,FALSE))*Table1317262932353841[[#This Row],[Levels]]</f>
        <v>25.5</v>
      </c>
    </row>
    <row r="34" spans="1:22" x14ac:dyDescent="0.35">
      <c r="A34" t="s">
        <v>128</v>
      </c>
      <c r="B34">
        <v>6</v>
      </c>
      <c r="C34">
        <v>3</v>
      </c>
      <c r="D34" s="11">
        <f>(((Table1317262932353841[[#This Row],[Hit Dice]]/2)+0.5)+VLOOKUP("Constitution",Table515242730333639[[Ability]:[Modifiers]],3,FALSE))*Table1317262932353841[[#This Row],[Levels]]</f>
        <v>19.5</v>
      </c>
      <c r="F34" s="32" t="s">
        <v>297</v>
      </c>
      <c r="G34" s="33" t="s">
        <v>513</v>
      </c>
      <c r="H34" s="33" t="s">
        <v>516</v>
      </c>
      <c r="I34" s="33" t="s">
        <v>81</v>
      </c>
      <c r="J34" s="33" t="s">
        <v>514</v>
      </c>
      <c r="K34" s="33" t="s">
        <v>515</v>
      </c>
      <c r="L34" s="33" t="s">
        <v>178</v>
      </c>
      <c r="M34" s="33" t="s">
        <v>351</v>
      </c>
      <c r="N34" s="33" t="s">
        <v>312</v>
      </c>
      <c r="O34" s="33" t="s">
        <v>314</v>
      </c>
      <c r="P34" s="33" t="s">
        <v>522</v>
      </c>
      <c r="Q34" s="33" t="s">
        <v>523</v>
      </c>
      <c r="R34" s="33" t="s">
        <v>524</v>
      </c>
      <c r="S34" s="33" t="s">
        <v>525</v>
      </c>
      <c r="T34" s="33" t="s">
        <v>320</v>
      </c>
      <c r="U34" s="33" t="s">
        <v>319</v>
      </c>
      <c r="V34" s="41" t="s">
        <v>517</v>
      </c>
    </row>
    <row r="35" spans="1:22" x14ac:dyDescent="0.35">
      <c r="A35" t="s">
        <v>129</v>
      </c>
      <c r="B35">
        <v>10</v>
      </c>
      <c r="C35">
        <v>3</v>
      </c>
      <c r="D35" s="11">
        <f>(((Table1317262932353841[[#This Row],[Hit Dice]]/2)+0.5)+VLOOKUP("Constitution",Table515242730333639[[Ability]:[Modifiers]],3,FALSE))*Table1317262932353841[[#This Row],[Levels]]</f>
        <v>25.5</v>
      </c>
      <c r="F35" t="s">
        <v>539</v>
      </c>
      <c r="G35" t="s">
        <v>288</v>
      </c>
      <c r="H35" t="s">
        <v>519</v>
      </c>
      <c r="I35" t="s">
        <v>5</v>
      </c>
      <c r="J35">
        <f t="shared" ref="J35" si="0">2+8</f>
        <v>10</v>
      </c>
      <c r="M35">
        <v>14</v>
      </c>
      <c r="N35">
        <v>6</v>
      </c>
      <c r="O35">
        <v>6</v>
      </c>
      <c r="T35">
        <f>((Table77[[#This Row],[Damage Dice]]/2)*Table77[[#This Row],['# Dice]])+Table77[[#This Row],[Bonus Damage]]</f>
        <v>48</v>
      </c>
      <c r="U35">
        <v>5</v>
      </c>
    </row>
    <row r="36" spans="1:22" x14ac:dyDescent="0.35">
      <c r="A36" t="s">
        <v>58</v>
      </c>
      <c r="B36">
        <v>8</v>
      </c>
      <c r="C36">
        <v>14</v>
      </c>
      <c r="D36" s="11">
        <f>(((Table1317262932353841[[#This Row],[Hit Dice]]/2)+0.5)+VLOOKUP("Constitution",Table515242730333639[[Ability]:[Modifiers]],3,FALSE))*Table1317262932353841[[#This Row],[Levels]]</f>
        <v>105</v>
      </c>
    </row>
    <row r="38" spans="1:22" x14ac:dyDescent="0.35">
      <c r="A38" s="13" t="s">
        <v>167</v>
      </c>
    </row>
    <row r="39" spans="1:22" x14ac:dyDescent="0.35">
      <c r="A39" s="1" t="s">
        <v>50</v>
      </c>
      <c r="B39" s="1" t="s">
        <v>171</v>
      </c>
    </row>
    <row r="40" spans="1:22" x14ac:dyDescent="0.35">
      <c r="A40">
        <v>1</v>
      </c>
      <c r="B40" t="s">
        <v>47</v>
      </c>
      <c r="F40" t="s">
        <v>628</v>
      </c>
    </row>
    <row r="41" spans="1:22" x14ac:dyDescent="0.35">
      <c r="A41">
        <v>1</v>
      </c>
      <c r="B41" t="s">
        <v>170</v>
      </c>
      <c r="F41" s="1" t="s">
        <v>631</v>
      </c>
      <c r="G41" s="1" t="s">
        <v>498</v>
      </c>
      <c r="H41" s="1" t="s">
        <v>629</v>
      </c>
      <c r="I41" s="1" t="s">
        <v>634</v>
      </c>
    </row>
    <row r="42" spans="1:22" x14ac:dyDescent="0.35">
      <c r="A42">
        <v>2</v>
      </c>
      <c r="B42" t="s">
        <v>168</v>
      </c>
      <c r="F42" s="9" t="s">
        <v>87</v>
      </c>
      <c r="G42" t="s">
        <v>630</v>
      </c>
      <c r="H42">
        <v>2</v>
      </c>
      <c r="I42" t="str">
        <f>IF(Table558687899091949597[[#This Row],[Active]]="Yes",Table558687899091949597[[#This Row],[AC Bonus]],"")</f>
        <v/>
      </c>
    </row>
    <row r="43" spans="1:22" x14ac:dyDescent="0.35">
      <c r="A43">
        <v>2</v>
      </c>
      <c r="B43" t="s">
        <v>169</v>
      </c>
      <c r="F43" s="9" t="s">
        <v>87</v>
      </c>
      <c r="G43" t="s">
        <v>632</v>
      </c>
      <c r="H43">
        <v>2</v>
      </c>
      <c r="I43" t="str">
        <f>IF(Table558687899091949597[[#This Row],[Active]]="Yes",Table558687899091949597[[#This Row],[AC Bonus]],"")</f>
        <v/>
      </c>
    </row>
    <row r="44" spans="1:22" x14ac:dyDescent="0.35">
      <c r="F44" s="9" t="s">
        <v>87</v>
      </c>
      <c r="G44" t="s">
        <v>633</v>
      </c>
      <c r="H44">
        <v>1</v>
      </c>
      <c r="I44" t="str">
        <f>IF(Table558687899091949597[[#This Row],[Active]]="Yes",Table558687899091949597[[#This Row],[AC Bonus]],"")</f>
        <v/>
      </c>
    </row>
    <row r="45" spans="1:22" x14ac:dyDescent="0.35">
      <c r="A45" s="13" t="s">
        <v>172</v>
      </c>
      <c r="F45" s="9" t="s">
        <v>87</v>
      </c>
      <c r="G45" t="s">
        <v>44</v>
      </c>
      <c r="H45">
        <v>2</v>
      </c>
      <c r="I45" t="str">
        <f>IF(Table558687899091949597[[#This Row],[Active]]="Yes",Table558687899091949597[[#This Row],[AC Bonus]],"")</f>
        <v/>
      </c>
    </row>
    <row r="46" spans="1:22" x14ac:dyDescent="0.35">
      <c r="A46" s="1" t="s">
        <v>50</v>
      </c>
      <c r="B46" s="1" t="s">
        <v>171</v>
      </c>
      <c r="F46" s="54" t="s">
        <v>87</v>
      </c>
      <c r="G46" s="38" t="s">
        <v>160</v>
      </c>
      <c r="H46" s="38">
        <v>5</v>
      </c>
      <c r="I46" s="55" t="str">
        <f>IF(Table558687899091949597[[#This Row],[Active]]="Yes",Table558687899091949597[[#This Row],[AC Bonus]],"")</f>
        <v/>
      </c>
    </row>
    <row r="47" spans="1:22" x14ac:dyDescent="0.35">
      <c r="A47">
        <v>1</v>
      </c>
      <c r="B47" t="s">
        <v>173</v>
      </c>
      <c r="F47" s="54"/>
      <c r="G47" s="38" t="s">
        <v>658</v>
      </c>
      <c r="H47" s="38">
        <v>2</v>
      </c>
      <c r="I47" s="55" t="str">
        <f>IF(Table558687899091949597[[#This Row],[Active]]="Yes",Table558687899091949597[[#This Row],[AC Bonus]],"")</f>
        <v/>
      </c>
    </row>
    <row r="48" spans="1:22" x14ac:dyDescent="0.35">
      <c r="A48">
        <v>1</v>
      </c>
      <c r="B48" t="s">
        <v>49</v>
      </c>
      <c r="F48" s="54"/>
      <c r="G48" s="38" t="s">
        <v>659</v>
      </c>
      <c r="H48" s="38">
        <v>5</v>
      </c>
      <c r="I48" s="55" t="str">
        <f>IF(Table558687899091949597[[#This Row],[Active]]="Yes",Table558687899091949597[[#This Row],[AC Bonus]],"")</f>
        <v/>
      </c>
    </row>
    <row r="49" spans="1:2" x14ac:dyDescent="0.35">
      <c r="A49">
        <v>1</v>
      </c>
      <c r="B49" t="s">
        <v>174</v>
      </c>
    </row>
    <row r="50" spans="1:2" x14ac:dyDescent="0.35">
      <c r="A50">
        <v>1</v>
      </c>
      <c r="B50" t="s">
        <v>175</v>
      </c>
    </row>
    <row r="51" spans="1:2" x14ac:dyDescent="0.35">
      <c r="A51">
        <v>1</v>
      </c>
      <c r="B51" t="s">
        <v>47</v>
      </c>
    </row>
    <row r="52" spans="1:2" x14ac:dyDescent="0.35">
      <c r="A52">
        <v>1</v>
      </c>
      <c r="B52" t="s">
        <v>176</v>
      </c>
    </row>
    <row r="54" spans="1:2" x14ac:dyDescent="0.35">
      <c r="A54" s="13"/>
    </row>
    <row r="55" spans="1:2" x14ac:dyDescent="0.35">
      <c r="A55" s="1"/>
      <c r="B55" s="1"/>
    </row>
    <row r="60" spans="1:2" x14ac:dyDescent="0.35">
      <c r="A60" s="13"/>
    </row>
    <row r="61" spans="1:2" x14ac:dyDescent="0.35">
      <c r="A61" s="1"/>
      <c r="B61" s="1"/>
    </row>
  </sheetData>
  <pageMargins left="0.7" right="0.7" top="0.75" bottom="0.75" header="0.3" footer="0.3"/>
  <pageSetup orientation="portrait" r:id="rId1"/>
  <tableParts count="5">
    <tablePart r:id="rId2"/>
    <tablePart r:id="rId3"/>
    <tablePart r:id="rId4"/>
    <tablePart r:id="rId5"/>
    <tablePart r:id="rId6"/>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826B37D-D96D-4F62-BED4-1401AF431DC8}">
          <x14:formula1>
            <xm:f>'Rules of the Game'!$D$4:$D$6</xm:f>
          </x14:formula1>
          <xm:sqref>B11:B28</xm:sqref>
        </x14:dataValidation>
        <x14:dataValidation type="list" allowBlank="1" showInputMessage="1" showErrorMessage="1" xr:uid="{1A1C9963-C4B3-4A94-98B2-34F2364FD18D}">
          <x14:formula1>
            <xm:f>'Rules of the Game'!$D$1:$D$2</xm:f>
          </x14:formula1>
          <xm:sqref>D2:D7 F10 F42:F48</xm:sqref>
        </x14:dataValidation>
        <x14:dataValidation type="list" allowBlank="1" showInputMessage="1" showErrorMessage="1" xr:uid="{F9FCE055-4077-48B3-A4F0-91BAD1671294}">
          <x14:formula1>
            <xm:f>'Rules of the Game'!$D$42:$D$53</xm:f>
          </x14:formula1>
          <xm:sqref>F11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A6062-5FFB-45C4-B590-8D6C07BE395B}">
  <sheetPr codeName="Sheet13"/>
  <dimension ref="A1:V61"/>
  <sheetViews>
    <sheetView topLeftCell="A14" zoomScale="96" zoomScaleNormal="100" workbookViewId="0">
      <selection activeCell="G50" sqref="G50"/>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21.54296875" bestFit="1" customWidth="1"/>
    <col min="7" max="7" width="15.1796875" bestFit="1" customWidth="1"/>
    <col min="8" max="8" width="27.1796875" bestFit="1" customWidth="1"/>
    <col min="9" max="9" width="13.1796875" customWidth="1"/>
    <col min="10" max="10" width="12.81640625" customWidth="1"/>
    <col min="11" max="11" width="11.1796875" customWidth="1"/>
    <col min="12" max="12" width="9.453125" customWidth="1"/>
    <col min="14" max="14" width="13.54296875" customWidth="1"/>
    <col min="15" max="15" width="27.1796875" bestFit="1" customWidth="1"/>
    <col min="16" max="16" width="13.453125" customWidth="1"/>
    <col min="17" max="17" width="19.1796875" customWidth="1"/>
    <col min="18" max="18" width="20.1796875" customWidth="1"/>
    <col min="19" max="19" width="18.453125" customWidth="1"/>
    <col min="20" max="20" width="16.81640625" customWidth="1"/>
    <col min="22" max="22" width="11.453125"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8</v>
      </c>
      <c r="C2">
        <f>VLOOKUP(Table51524273033363942[[#This Row],[Score]],Modifier[],2,FALSE)</f>
        <v>-1</v>
      </c>
      <c r="D2" t="s">
        <v>87</v>
      </c>
      <c r="E2">
        <f>IF(Table51524273033363942[[#This Row],[Proficiency?]]="No",Table51524273033363942[[#This Row],[Modifiers]],VLOOKUP($F$16,Proficiency[],2,FALSE)+Table51524273033363942[[#This Row],[Modifiers]])</f>
        <v>-1</v>
      </c>
      <c r="H2" t="s">
        <v>136</v>
      </c>
      <c r="I2" t="s">
        <v>177</v>
      </c>
      <c r="O2" t="s">
        <v>151</v>
      </c>
      <c r="P2" t="s">
        <v>182</v>
      </c>
    </row>
    <row r="3" spans="1:16" x14ac:dyDescent="0.35">
      <c r="A3" t="s">
        <v>1</v>
      </c>
      <c r="B3">
        <v>14</v>
      </c>
      <c r="C3">
        <f>VLOOKUP(Table51524273033363942[[#This Row],[Score]],Modifier[],2,FALSE)</f>
        <v>2</v>
      </c>
      <c r="D3" t="s">
        <v>87</v>
      </c>
      <c r="E3">
        <f>IF(Table51524273033363942[[#This Row],[Proficiency?]]="No",Table51524273033363942[[#This Row],[Modifiers]],VLOOKUP($F$16,Proficiency[],2,FALSE)+Table51524273033363942[[#This Row],[Modifiers]])</f>
        <v>2</v>
      </c>
      <c r="H3" t="s">
        <v>137</v>
      </c>
      <c r="I3" t="s">
        <v>184</v>
      </c>
      <c r="O3" t="s">
        <v>152</v>
      </c>
    </row>
    <row r="4" spans="1:16" x14ac:dyDescent="0.35">
      <c r="A4" t="s">
        <v>2</v>
      </c>
      <c r="B4">
        <v>10</v>
      </c>
      <c r="C4">
        <f>VLOOKUP(Table51524273033363942[[#This Row],[Score]],Modifier[],2,FALSE)</f>
        <v>0</v>
      </c>
      <c r="D4" t="s">
        <v>86</v>
      </c>
      <c r="E4">
        <f>IF(Table51524273033363942[[#This Row],[Proficiency?]]="No",Table51524273033363942[[#This Row],[Modifiers]],VLOOKUP($F$16,Proficiency[],2,FALSE)+Table51524273033363942[[#This Row],[Modifiers]])</f>
        <v>8</v>
      </c>
      <c r="H4" t="s">
        <v>138</v>
      </c>
      <c r="I4" t="s">
        <v>185</v>
      </c>
      <c r="O4" t="s">
        <v>153</v>
      </c>
    </row>
    <row r="5" spans="1:16" x14ac:dyDescent="0.35">
      <c r="A5" t="s">
        <v>3</v>
      </c>
      <c r="B5">
        <v>20</v>
      </c>
      <c r="C5">
        <f>VLOOKUP(Table51524273033363942[[#This Row],[Score]],Modifier[],2,FALSE)</f>
        <v>5</v>
      </c>
      <c r="D5" t="s">
        <v>86</v>
      </c>
      <c r="E5">
        <f>IF(Table51524273033363942[[#This Row],[Proficiency?]]="No",Table51524273033363942[[#This Row],[Modifiers]],VLOOKUP($F$16,Proficiency[],2,FALSE)+Table51524273033363942[[#This Row],[Modifiers]])</f>
        <v>13</v>
      </c>
      <c r="H5" t="s">
        <v>186</v>
      </c>
      <c r="O5" t="s">
        <v>154</v>
      </c>
    </row>
    <row r="6" spans="1:16" x14ac:dyDescent="0.35">
      <c r="A6" t="s">
        <v>4</v>
      </c>
      <c r="B6">
        <v>11</v>
      </c>
      <c r="C6">
        <f>VLOOKUP(Table51524273033363942[[#This Row],[Score]],Modifier[],2,FALSE)</f>
        <v>0</v>
      </c>
      <c r="D6" t="s">
        <v>86</v>
      </c>
      <c r="E6">
        <f>IF(Table51524273033363942[[#This Row],[Proficiency?]]="No",Table51524273033363942[[#This Row],[Modifiers]],VLOOKUP($F$16,Proficiency[],2,FALSE)+Table51524273033363942[[#This Row],[Modifiers]])</f>
        <v>8</v>
      </c>
      <c r="H6" t="s">
        <v>139</v>
      </c>
      <c r="I6" t="s">
        <v>187</v>
      </c>
      <c r="O6" t="s">
        <v>155</v>
      </c>
    </row>
    <row r="7" spans="1:16" x14ac:dyDescent="0.35">
      <c r="A7" t="s">
        <v>5</v>
      </c>
      <c r="B7">
        <v>14</v>
      </c>
      <c r="C7">
        <f>VLOOKUP(Table51524273033363942[[#This Row],[Score]],Modifier[],2,FALSE)</f>
        <v>2</v>
      </c>
      <c r="D7" t="s">
        <v>87</v>
      </c>
      <c r="E7">
        <f>IF(Table51524273033363942[[#This Row],[Proficiency?]]="No",Table51524273033363942[[#This Row],[Modifiers]],VLOOKUP($F$16,Proficiency[],2,FALSE)+Table51524273033363942[[#This Row],[Modifiers]])</f>
        <v>2</v>
      </c>
      <c r="H7" t="s">
        <v>140</v>
      </c>
      <c r="I7" t="s">
        <v>188</v>
      </c>
      <c r="O7" t="s">
        <v>154</v>
      </c>
    </row>
    <row r="8" spans="1:16" x14ac:dyDescent="0.35">
      <c r="H8" t="s">
        <v>141</v>
      </c>
      <c r="I8" t="s">
        <v>189</v>
      </c>
      <c r="O8" t="s">
        <v>156</v>
      </c>
    </row>
    <row r="9" spans="1:16" x14ac:dyDescent="0.35">
      <c r="H9" s="18"/>
      <c r="I9" t="s">
        <v>245</v>
      </c>
    </row>
    <row r="10" spans="1:16" x14ac:dyDescent="0.35">
      <c r="A10" t="s">
        <v>90</v>
      </c>
      <c r="B10" t="s">
        <v>91</v>
      </c>
      <c r="C10" t="s">
        <v>13</v>
      </c>
      <c r="E10" t="s">
        <v>116</v>
      </c>
      <c r="F10" s="9" t="s">
        <v>86</v>
      </c>
      <c r="O10" s="1" t="s">
        <v>157</v>
      </c>
      <c r="P10" s="1" t="s">
        <v>135</v>
      </c>
    </row>
    <row r="11" spans="1:16" x14ac:dyDescent="0.35">
      <c r="A11" t="s">
        <v>94</v>
      </c>
      <c r="B11" t="s">
        <v>84</v>
      </c>
      <c r="C11">
        <f>VLOOKUP(VLOOKUP(Table91625283134374043[[#This Row],[Skills]],Table10[],2,FALSE),Table5[[Ability]:[Modifiers]],3,FALSE)+VLOOKUP(Table91625283134374043[[#This Row],[Proficiency Level]],Table11[],3,FALSE)</f>
        <v>14</v>
      </c>
      <c r="E11" t="s">
        <v>117</v>
      </c>
      <c r="F11" s="9" t="s">
        <v>48</v>
      </c>
      <c r="H11" s="1" t="s">
        <v>142</v>
      </c>
      <c r="I11" s="1" t="s">
        <v>135</v>
      </c>
      <c r="O11" t="s">
        <v>158</v>
      </c>
    </row>
    <row r="12" spans="1:16" x14ac:dyDescent="0.35">
      <c r="A12" t="s">
        <v>95</v>
      </c>
      <c r="B12" t="s">
        <v>92</v>
      </c>
      <c r="C12">
        <f>VLOOKUP(VLOOKUP(Table91625283134374043[[#This Row],[Skills]],Table10[],2,FALSE),Table5[[Ability]:[Modifiers]],3,FALSE)+VLOOKUP(Table91625283134374043[[#This Row],[Proficiency Level]],Table11[],3,FALSE)</f>
        <v>0</v>
      </c>
      <c r="E12" t="s">
        <v>122</v>
      </c>
      <c r="F12" s="10">
        <f>IF(ISNUMBER(VLOOKUP('Gallows Speaker'!F11,Table12[],3,FALSE))=FALSE,IF(VLOOKUP('Gallows Speaker'!F11,Table12[],3,FALSE)="Yes",'Gallows Speaker'!$C$3,0),VLOOKUP('Gallows Speaker'!F11,Table12[],3,FALSE))</f>
        <v>2</v>
      </c>
      <c r="H12" t="s">
        <v>143</v>
      </c>
      <c r="I12" t="s">
        <v>183</v>
      </c>
      <c r="O12" t="s">
        <v>159</v>
      </c>
    </row>
    <row r="13" spans="1:16" x14ac:dyDescent="0.35">
      <c r="A13" t="s">
        <v>96</v>
      </c>
      <c r="B13" t="s">
        <v>84</v>
      </c>
      <c r="C13">
        <f>VLOOKUP(VLOOKUP(Table91625283134374043[[#This Row],[Skills]],Table10[],2,FALSE),Table5[[Ability]:[Modifiers]],3,FALSE)+VLOOKUP(Table91625283134374043[[#This Row],[Proficiency Level]],Table11[],3,FALSE)</f>
        <v>14</v>
      </c>
      <c r="E13" t="s">
        <v>123</v>
      </c>
      <c r="F13" s="9">
        <v>1</v>
      </c>
      <c r="H13" t="s">
        <v>144</v>
      </c>
      <c r="I13" t="s">
        <v>190</v>
      </c>
      <c r="O13" t="s">
        <v>160</v>
      </c>
    </row>
    <row r="14" spans="1:16" x14ac:dyDescent="0.35">
      <c r="A14" t="s">
        <v>97</v>
      </c>
      <c r="B14" t="s">
        <v>92</v>
      </c>
      <c r="C14">
        <f>VLOOKUP(VLOOKUP(Table91625283134374043[[#This Row],[Skills]],Table10[],2,FALSE),Table5[[Ability]:[Modifiers]],3,FALSE)+VLOOKUP(Table91625283134374043[[#This Row],[Proficiency Level]],Table11[],3,FALSE)</f>
        <v>0</v>
      </c>
      <c r="H14" t="s">
        <v>145</v>
      </c>
      <c r="I14" t="s">
        <v>191</v>
      </c>
      <c r="O14" t="s">
        <v>161</v>
      </c>
    </row>
    <row r="15" spans="1:16" x14ac:dyDescent="0.35">
      <c r="A15" t="s">
        <v>98</v>
      </c>
      <c r="B15" t="s">
        <v>84</v>
      </c>
      <c r="C15">
        <f>VLOOKUP(VLOOKUP(Table91625283134374043[[#This Row],[Skills]],Table10[],2,FALSE),Table5[[Ability]:[Modifiers]],3,FALSE)+VLOOKUP(Table91625283134374043[[#This Row],[Proficiency Level]],Table11[],3,FALSE)</f>
        <v>11</v>
      </c>
      <c r="H15" t="s">
        <v>146</v>
      </c>
      <c r="I15" t="s">
        <v>192</v>
      </c>
      <c r="O15" t="s">
        <v>162</v>
      </c>
    </row>
    <row r="16" spans="1:16" x14ac:dyDescent="0.35">
      <c r="A16" t="s">
        <v>99</v>
      </c>
      <c r="B16" t="s">
        <v>92</v>
      </c>
      <c r="C16">
        <f>VLOOKUP(VLOOKUP(Table91625283134374043[[#This Row],[Skills]],Table10[],2,FALSE),Table5[[Ability]:[Modifiers]],3,FALSE)+VLOOKUP(Table91625283134374043[[#This Row],[Proficiency Level]],Table11[],3,FALSE)</f>
        <v>5</v>
      </c>
      <c r="E16" s="1" t="s">
        <v>88</v>
      </c>
      <c r="F16" s="9">
        <v>30</v>
      </c>
      <c r="H16" t="s">
        <v>147</v>
      </c>
      <c r="O16" t="s">
        <v>163</v>
      </c>
    </row>
    <row r="17" spans="1:16" x14ac:dyDescent="0.35">
      <c r="A17" t="s">
        <v>100</v>
      </c>
      <c r="B17" t="s">
        <v>84</v>
      </c>
      <c r="C17">
        <f>VLOOKUP(VLOOKUP(Table91625283134374043[[#This Row],[Skills]],Table10[],2,FALSE),Table5[[Ability]:[Modifiers]],3,FALSE)+VLOOKUP(Table91625283134374043[[#This Row],[Proficiency Level]],Table11[],3,FALSE)</f>
        <v>9</v>
      </c>
      <c r="E17" s="1" t="s">
        <v>115</v>
      </c>
      <c r="F17" s="10">
        <f>IF('Gallows Speaker'!F10="Yes",VLOOKUP(F11,Table12[],2,FALSE)+'Gallows Speaker'!F12+2+F13,VLOOKUP(F11,Table12[],2,FALSE)+'Gallows Speaker'!F12+F13)+SUM(Table55868789909194959798[Applied AC Bonus])</f>
        <v>18</v>
      </c>
      <c r="H17" t="s">
        <v>148</v>
      </c>
      <c r="O17" t="s">
        <v>164</v>
      </c>
    </row>
    <row r="18" spans="1:16" x14ac:dyDescent="0.35">
      <c r="A18" t="s">
        <v>101</v>
      </c>
      <c r="B18" t="s">
        <v>92</v>
      </c>
      <c r="C18">
        <f>VLOOKUP(VLOOKUP(Table91625283134374043[[#This Row],[Skills]],Table10[],2,FALSE),Table5[[Ability]:[Modifiers]],3,FALSE)+VLOOKUP(Table91625283134374043[[#This Row],[Proficiency Level]],Table11[],3,FALSE)</f>
        <v>2</v>
      </c>
      <c r="E18" s="1" t="s">
        <v>132</v>
      </c>
      <c r="F18" s="12">
        <f>SUM(Table131726293235384144[[Average ]])</f>
        <v>257</v>
      </c>
      <c r="H18" t="s">
        <v>179</v>
      </c>
      <c r="O18" t="s">
        <v>165</v>
      </c>
      <c r="P18" t="s">
        <v>198</v>
      </c>
    </row>
    <row r="19" spans="1:16" x14ac:dyDescent="0.35">
      <c r="A19" t="s">
        <v>102</v>
      </c>
      <c r="B19" t="s">
        <v>92</v>
      </c>
      <c r="C19">
        <f>VLOOKUP(VLOOKUP(Table91625283134374043[[#This Row],[Skills]],Table10[],2,FALSE),Table5[[Ability]:[Modifiers]],3,FALSE)+VLOOKUP(Table91625283134374043[[#This Row],[Proficiency Level]],Table11[],3,FALSE)</f>
        <v>5</v>
      </c>
      <c r="E19" s="1" t="s">
        <v>178</v>
      </c>
      <c r="F19" s="10">
        <f>8+VLOOKUP("Intelligence",Table51524273033363942[],3,FALSE)+VLOOKUP(F16,Proficiency[],2,FALSE)</f>
        <v>21</v>
      </c>
      <c r="H19" t="s">
        <v>180</v>
      </c>
      <c r="O19" t="s">
        <v>166</v>
      </c>
    </row>
    <row r="20" spans="1:16" x14ac:dyDescent="0.35">
      <c r="A20" t="s">
        <v>103</v>
      </c>
      <c r="B20" t="s">
        <v>92</v>
      </c>
      <c r="C20">
        <f>VLOOKUP(VLOOKUP(Table91625283134374043[[#This Row],[Skills]],Table10[],2,FALSE),Table5[[Ability]:[Modifiers]],3,FALSE)+VLOOKUP(Table91625283134374043[[#This Row],[Proficiency Level]],Table11[],3,FALSE)</f>
        <v>0</v>
      </c>
      <c r="H20" t="s">
        <v>181</v>
      </c>
      <c r="O20" s="18"/>
    </row>
    <row r="21" spans="1:16" x14ac:dyDescent="0.35">
      <c r="A21" t="s">
        <v>104</v>
      </c>
      <c r="B21" t="s">
        <v>92</v>
      </c>
      <c r="C21">
        <f>VLOOKUP(VLOOKUP(Table91625283134374043[[#This Row],[Skills]],Table10[],2,FALSE),Table5[[Ability]:[Modifiers]],3,FALSE)+VLOOKUP(Table91625283134374043[[#This Row],[Proficiency Level]],Table11[],3,FALSE)</f>
        <v>5</v>
      </c>
      <c r="E21" s="14" t="s">
        <v>209</v>
      </c>
      <c r="F21" s="10">
        <f>10+C22</f>
        <v>19</v>
      </c>
      <c r="H21" s="17" t="s">
        <v>295</v>
      </c>
    </row>
    <row r="22" spans="1:16" x14ac:dyDescent="0.35">
      <c r="A22" t="s">
        <v>105</v>
      </c>
      <c r="B22" t="s">
        <v>84</v>
      </c>
      <c r="C22">
        <f>VLOOKUP(VLOOKUP(Table91625283134374043[[#This Row],[Skills]],Table10[],2,FALSE),Table5[[Ability]:[Modifiers]],3,FALSE)+VLOOKUP(Table91625283134374043[[#This Row],[Proficiency Level]],Table11[],3,FALSE)</f>
        <v>9</v>
      </c>
      <c r="H22" s="17" t="s">
        <v>296</v>
      </c>
    </row>
    <row r="23" spans="1:16" x14ac:dyDescent="0.35">
      <c r="A23" t="s">
        <v>106</v>
      </c>
      <c r="B23" t="s">
        <v>92</v>
      </c>
      <c r="C23">
        <f>VLOOKUP(VLOOKUP(Table91625283134374043[[#This Row],[Skills]],Table10[],2,FALSE),Table5[[Ability]:[Modifiers]],3,FALSE)+VLOOKUP(Table91625283134374043[[#This Row],[Proficiency Level]],Table11[],3,FALSE)</f>
        <v>2</v>
      </c>
      <c r="H23" s="18"/>
    </row>
    <row r="24" spans="1:16" x14ac:dyDescent="0.35">
      <c r="A24" t="s">
        <v>107</v>
      </c>
      <c r="B24" t="s">
        <v>92</v>
      </c>
      <c r="C24">
        <f>VLOOKUP(VLOOKUP(Table91625283134374043[[#This Row],[Skills]],Table10[],2,FALSE),Table5[[Ability]:[Modifiers]],3,FALSE)+VLOOKUP(Table91625283134374043[[#This Row],[Proficiency Level]],Table11[],3,FALSE)</f>
        <v>2</v>
      </c>
      <c r="H24" s="18"/>
    </row>
    <row r="25" spans="1:16" x14ac:dyDescent="0.35">
      <c r="A25" t="s">
        <v>108</v>
      </c>
      <c r="B25" t="s">
        <v>92</v>
      </c>
      <c r="C25">
        <f>VLOOKUP(VLOOKUP(Table91625283134374043[[#This Row],[Skills]],Table10[],2,FALSE),Table5[[Ability]:[Modifiers]],3,FALSE)+VLOOKUP(Table91625283134374043[[#This Row],[Proficiency Level]],Table11[],3,FALSE)</f>
        <v>5</v>
      </c>
    </row>
    <row r="26" spans="1:16" x14ac:dyDescent="0.35">
      <c r="A26" t="s">
        <v>109</v>
      </c>
      <c r="B26" t="s">
        <v>92</v>
      </c>
      <c r="C26">
        <f>VLOOKUP(VLOOKUP(Table91625283134374043[[#This Row],[Skills]],Table10[],2,FALSE),Table5[[Ability]:[Modifiers]],3,FALSE)+VLOOKUP(Table91625283134374043[[#This Row],[Proficiency Level]],Table11[],3,FALSE)</f>
        <v>5</v>
      </c>
    </row>
    <row r="27" spans="1:16" x14ac:dyDescent="0.35">
      <c r="A27" t="s">
        <v>110</v>
      </c>
      <c r="B27" t="s">
        <v>93</v>
      </c>
      <c r="C27">
        <f>VLOOKUP(VLOOKUP(Table91625283134374043[[#This Row],[Skills]],Table10[],2,FALSE),Table5[[Ability]:[Modifiers]],3,FALSE)+VLOOKUP(Table91625283134374043[[#This Row],[Proficiency Level]],Table11[],3,FALSE)</f>
        <v>23</v>
      </c>
      <c r="H27" s="1" t="s">
        <v>199</v>
      </c>
    </row>
    <row r="28" spans="1:16" x14ac:dyDescent="0.35">
      <c r="A28" t="s">
        <v>111</v>
      </c>
      <c r="B28" t="s">
        <v>92</v>
      </c>
      <c r="C28">
        <f>VLOOKUP(VLOOKUP(Table91625283134374043[[#This Row],[Skills]],Table10[],2,FALSE),Table5[[Ability]:[Modifiers]],3,FALSE)+VLOOKUP(Table91625283134374043[[#This Row],[Proficiency Level]],Table11[],3,FALSE)</f>
        <v>0</v>
      </c>
      <c r="H28" s="18" t="s">
        <v>225</v>
      </c>
      <c r="I28" t="s">
        <v>292</v>
      </c>
    </row>
    <row r="29" spans="1:16" x14ac:dyDescent="0.35">
      <c r="H29" s="18" t="s">
        <v>281</v>
      </c>
      <c r="I29" t="s">
        <v>293</v>
      </c>
    </row>
    <row r="30" spans="1:16" x14ac:dyDescent="0.35">
      <c r="H30" s="18" t="s">
        <v>282</v>
      </c>
      <c r="I30" t="s">
        <v>285</v>
      </c>
    </row>
    <row r="31" spans="1:16" x14ac:dyDescent="0.35">
      <c r="A31" t="s">
        <v>124</v>
      </c>
      <c r="B31" t="s">
        <v>125</v>
      </c>
      <c r="C31" t="s">
        <v>130</v>
      </c>
      <c r="D31" t="s">
        <v>133</v>
      </c>
      <c r="H31" s="18" t="s">
        <v>286</v>
      </c>
    </row>
    <row r="32" spans="1:16" x14ac:dyDescent="0.35">
      <c r="A32" t="s">
        <v>126</v>
      </c>
      <c r="B32">
        <v>6</v>
      </c>
      <c r="C32">
        <v>20</v>
      </c>
      <c r="D32">
        <f>(((Table131726293235384144[[#This Row],[Hit Dice]]/2)+0.5)+2)*Table131726293235384144[[#This Row],[Levels]]</f>
        <v>110</v>
      </c>
      <c r="H32" s="18" t="s">
        <v>287</v>
      </c>
    </row>
    <row r="33" spans="1:22" x14ac:dyDescent="0.35">
      <c r="A33" t="s">
        <v>127</v>
      </c>
      <c r="B33">
        <v>10</v>
      </c>
      <c r="C33">
        <v>3</v>
      </c>
      <c r="D33">
        <f>(((Table131726293235384144[[#This Row],[Hit Dice]]/2)+0.5)+2)*Table131726293235384144[[#This Row],[Levels]]</f>
        <v>22.5</v>
      </c>
      <c r="H33" s="18" t="s">
        <v>294</v>
      </c>
    </row>
    <row r="34" spans="1:22" x14ac:dyDescent="0.35">
      <c r="A34" t="s">
        <v>128</v>
      </c>
      <c r="B34">
        <v>6</v>
      </c>
      <c r="C34">
        <v>3</v>
      </c>
      <c r="D34">
        <f>(((Table131726293235384144[[#This Row],[Hit Dice]]/2)+0.5)+2)*Table131726293235384144[[#This Row],[Levels]]</f>
        <v>16.5</v>
      </c>
    </row>
    <row r="35" spans="1:22" x14ac:dyDescent="0.35">
      <c r="A35" t="s">
        <v>129</v>
      </c>
      <c r="B35">
        <v>10</v>
      </c>
      <c r="C35">
        <v>3</v>
      </c>
      <c r="D35">
        <f>(((Table131726293235384144[[#This Row],[Hit Dice]]/2)+0.5)+2)*Table131726293235384144[[#This Row],[Levels]]</f>
        <v>22.5</v>
      </c>
      <c r="F35" s="32" t="s">
        <v>297</v>
      </c>
      <c r="G35" s="33" t="s">
        <v>513</v>
      </c>
      <c r="H35" s="33" t="s">
        <v>516</v>
      </c>
      <c r="I35" s="33" t="s">
        <v>81</v>
      </c>
      <c r="J35" s="33" t="s">
        <v>514</v>
      </c>
      <c r="K35" s="33" t="s">
        <v>515</v>
      </c>
      <c r="L35" s="33" t="s">
        <v>178</v>
      </c>
      <c r="M35" s="33" t="s">
        <v>351</v>
      </c>
      <c r="N35" s="33" t="s">
        <v>312</v>
      </c>
      <c r="O35" s="33" t="s">
        <v>314</v>
      </c>
      <c r="P35" s="33" t="s">
        <v>522</v>
      </c>
      <c r="Q35" s="33" t="s">
        <v>523</v>
      </c>
      <c r="R35" s="33" t="s">
        <v>524</v>
      </c>
      <c r="S35" s="33" t="s">
        <v>525</v>
      </c>
      <c r="T35" s="33" t="s">
        <v>320</v>
      </c>
      <c r="U35" s="33" t="s">
        <v>319</v>
      </c>
      <c r="V35" s="41" t="s">
        <v>517</v>
      </c>
    </row>
    <row r="36" spans="1:22" x14ac:dyDescent="0.35">
      <c r="A36" t="s">
        <v>57</v>
      </c>
      <c r="B36">
        <v>8</v>
      </c>
      <c r="C36">
        <v>19</v>
      </c>
      <c r="D36" s="11">
        <f>(((Table131726293235384144[[#This Row],[Hit Dice]]/2)+0.5)+VLOOKUP("Constitution",Table51524273033363942[[Ability]:[Modifiers]],3,FALSE))*Table131726293235384144[[#This Row],[Levels]]</f>
        <v>85.5</v>
      </c>
      <c r="G36" t="s">
        <v>295</v>
      </c>
      <c r="H36" t="s">
        <v>519</v>
      </c>
      <c r="I36" t="s">
        <v>3</v>
      </c>
    </row>
    <row r="37" spans="1:22" x14ac:dyDescent="0.35">
      <c r="G37" t="s">
        <v>296</v>
      </c>
      <c r="H37" t="s">
        <v>89</v>
      </c>
      <c r="K37" t="s">
        <v>4</v>
      </c>
    </row>
    <row r="38" spans="1:22" x14ac:dyDescent="0.35">
      <c r="A38" s="13" t="s">
        <v>167</v>
      </c>
    </row>
    <row r="39" spans="1:22" x14ac:dyDescent="0.35">
      <c r="A39" s="1" t="s">
        <v>50</v>
      </c>
      <c r="B39" s="1" t="s">
        <v>171</v>
      </c>
    </row>
    <row r="40" spans="1:22" x14ac:dyDescent="0.35">
      <c r="A40">
        <v>1</v>
      </c>
      <c r="B40" t="s">
        <v>47</v>
      </c>
    </row>
    <row r="41" spans="1:22" x14ac:dyDescent="0.35">
      <c r="A41">
        <v>1</v>
      </c>
      <c r="B41" t="s">
        <v>170</v>
      </c>
      <c r="F41" t="s">
        <v>628</v>
      </c>
    </row>
    <row r="42" spans="1:22" x14ac:dyDescent="0.35">
      <c r="A42">
        <v>2</v>
      </c>
      <c r="B42" t="s">
        <v>168</v>
      </c>
      <c r="F42" s="1" t="s">
        <v>631</v>
      </c>
      <c r="G42" s="1" t="s">
        <v>498</v>
      </c>
      <c r="H42" s="1" t="s">
        <v>629</v>
      </c>
      <c r="I42" s="1" t="s">
        <v>634</v>
      </c>
    </row>
    <row r="43" spans="1:22" x14ac:dyDescent="0.35">
      <c r="A43">
        <v>2</v>
      </c>
      <c r="B43" t="s">
        <v>169</v>
      </c>
      <c r="F43" s="9" t="s">
        <v>87</v>
      </c>
      <c r="G43" t="s">
        <v>630</v>
      </c>
      <c r="H43">
        <v>2</v>
      </c>
      <c r="I43" t="str">
        <f>IF(Table55868789909194959798[[#This Row],[Active]]="Yes",Table55868789909194959798[[#This Row],[AC Bonus]],"")</f>
        <v/>
      </c>
    </row>
    <row r="44" spans="1:22" x14ac:dyDescent="0.35">
      <c r="F44" s="9" t="s">
        <v>87</v>
      </c>
      <c r="G44" t="s">
        <v>632</v>
      </c>
      <c r="H44">
        <v>2</v>
      </c>
      <c r="I44" t="str">
        <f>IF(Table55868789909194959798[[#This Row],[Active]]="Yes",Table55868789909194959798[[#This Row],[AC Bonus]],"")</f>
        <v/>
      </c>
    </row>
    <row r="45" spans="1:22" x14ac:dyDescent="0.35">
      <c r="A45" s="13" t="s">
        <v>172</v>
      </c>
      <c r="F45" s="9" t="s">
        <v>87</v>
      </c>
      <c r="G45" t="s">
        <v>633</v>
      </c>
      <c r="H45">
        <v>1</v>
      </c>
      <c r="I45" t="str">
        <f>IF(Table55868789909194959798[[#This Row],[Active]]="Yes",Table55868789909194959798[[#This Row],[AC Bonus]],"")</f>
        <v/>
      </c>
    </row>
    <row r="46" spans="1:22" x14ac:dyDescent="0.35">
      <c r="A46" s="1" t="s">
        <v>50</v>
      </c>
      <c r="B46" s="1" t="s">
        <v>171</v>
      </c>
      <c r="F46" s="9" t="s">
        <v>87</v>
      </c>
      <c r="G46" t="s">
        <v>44</v>
      </c>
      <c r="H46">
        <v>2</v>
      </c>
      <c r="I46" t="str">
        <f>IF(Table55868789909194959798[[#This Row],[Active]]="Yes",Table55868789909194959798[[#This Row],[AC Bonus]],"")</f>
        <v/>
      </c>
    </row>
    <row r="47" spans="1:22" x14ac:dyDescent="0.35">
      <c r="A47">
        <v>1</v>
      </c>
      <c r="B47" t="s">
        <v>173</v>
      </c>
      <c r="F47" s="54" t="s">
        <v>87</v>
      </c>
      <c r="G47" s="38" t="s">
        <v>160</v>
      </c>
      <c r="H47" s="38">
        <v>5</v>
      </c>
      <c r="I47" s="55" t="str">
        <f>IF(Table55868789909194959798[[#This Row],[Active]]="Yes",Table55868789909194959798[[#This Row],[AC Bonus]],"")</f>
        <v/>
      </c>
    </row>
    <row r="48" spans="1:22" x14ac:dyDescent="0.35">
      <c r="A48">
        <v>1</v>
      </c>
      <c r="B48" t="s">
        <v>49</v>
      </c>
      <c r="F48" s="54"/>
      <c r="G48" s="38" t="s">
        <v>658</v>
      </c>
      <c r="H48" s="38">
        <v>2</v>
      </c>
      <c r="I48" s="55" t="str">
        <f>IF(Table55868789909194959798[[#This Row],[Active]]="Yes",Table55868789909194959798[[#This Row],[AC Bonus]],"")</f>
        <v/>
      </c>
    </row>
    <row r="49" spans="1:9" x14ac:dyDescent="0.35">
      <c r="A49">
        <v>1</v>
      </c>
      <c r="B49" t="s">
        <v>174</v>
      </c>
      <c r="F49" s="54"/>
      <c r="G49" s="38" t="s">
        <v>659</v>
      </c>
      <c r="H49" s="38">
        <v>5</v>
      </c>
      <c r="I49" s="55" t="str">
        <f>IF(Table55868789909194959798[[#This Row],[Active]]="Yes",Table55868789909194959798[[#This Row],[AC Bonus]],"")</f>
        <v/>
      </c>
    </row>
    <row r="50" spans="1:9" x14ac:dyDescent="0.35">
      <c r="A50">
        <v>1</v>
      </c>
      <c r="B50" t="s">
        <v>175</v>
      </c>
    </row>
    <row r="51" spans="1:9" x14ac:dyDescent="0.35">
      <c r="A51">
        <v>1</v>
      </c>
      <c r="B51" t="s">
        <v>47</v>
      </c>
    </row>
    <row r="52" spans="1:9" x14ac:dyDescent="0.35">
      <c r="A52">
        <v>1</v>
      </c>
      <c r="B52" t="s">
        <v>176</v>
      </c>
    </row>
    <row r="54" spans="1:9" x14ac:dyDescent="0.35">
      <c r="A54" s="13"/>
    </row>
    <row r="55" spans="1:9" x14ac:dyDescent="0.35">
      <c r="A55" s="1"/>
      <c r="B55" s="1"/>
    </row>
    <row r="60" spans="1:9" x14ac:dyDescent="0.35">
      <c r="A60" s="13"/>
    </row>
    <row r="61" spans="1:9" x14ac:dyDescent="0.35">
      <c r="A61" s="1"/>
      <c r="B61" s="1"/>
    </row>
  </sheetData>
  <pageMargins left="0.7" right="0.7" top="0.75" bottom="0.75" header="0.3" footer="0.3"/>
  <pageSetup orientation="portrait" r:id="rId1"/>
  <tableParts count="5">
    <tablePart r:id="rId2"/>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258F2F9A-4E06-4C39-816E-C51B22EA94AB}">
          <x14:formula1>
            <xm:f>'Rules of the Game'!$D$1:$D$2</xm:f>
          </x14:formula1>
          <xm:sqref>D2:D7 F10 F43:F49</xm:sqref>
        </x14:dataValidation>
        <x14:dataValidation type="list" allowBlank="1" showInputMessage="1" showErrorMessage="1" xr:uid="{C6BDE8E7-9F8C-4F21-9C39-CC2893669270}">
          <x14:formula1>
            <xm:f>'Rules of the Game'!$D$4:$D$6</xm:f>
          </x14:formula1>
          <xm:sqref>B11:B28</xm:sqref>
        </x14:dataValidation>
        <x14:dataValidation type="list" allowBlank="1" showInputMessage="1" showErrorMessage="1" xr:uid="{38842D4E-58BA-4BC7-BD3C-01748C524E59}">
          <x14:formula1>
            <xm:f>'Rules of the Game'!$D$42:$D$53</xm:f>
          </x14:formula1>
          <xm:sqref>F11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05882-1949-4498-B41D-6554A47AF3BD}">
  <sheetPr codeName="Sheet14"/>
  <dimension ref="A1:P61"/>
  <sheetViews>
    <sheetView zoomScale="96" zoomScaleNormal="100" workbookViewId="0">
      <selection activeCell="I38" sqref="I38"/>
    </sheetView>
  </sheetViews>
  <sheetFormatPr defaultRowHeight="14.5" x14ac:dyDescent="0.35"/>
  <cols>
    <col min="1" max="1" width="14.54296875" bestFit="1" customWidth="1"/>
    <col min="2" max="2" width="26.1796875" bestFit="1" customWidth="1"/>
    <col min="3" max="3" width="11.1796875" bestFit="1" customWidth="1"/>
    <col min="4" max="4" width="13.1796875" bestFit="1" customWidth="1"/>
    <col min="5" max="5" width="25.453125" bestFit="1" customWidth="1"/>
    <col min="6" max="6" width="21.54296875" bestFit="1" customWidth="1"/>
    <col min="8" max="8" width="27.1796875" bestFit="1" customWidth="1"/>
    <col min="9" max="9" width="11.1796875" bestFit="1" customWidth="1"/>
    <col min="15" max="15" width="27.1796875" bestFit="1" customWidth="1"/>
  </cols>
  <sheetData>
    <row r="1" spans="1:16" x14ac:dyDescent="0.35">
      <c r="A1" t="s">
        <v>6</v>
      </c>
      <c r="B1" t="s">
        <v>7</v>
      </c>
      <c r="C1" t="s">
        <v>83</v>
      </c>
      <c r="D1" t="s">
        <v>85</v>
      </c>
      <c r="E1" t="s">
        <v>89</v>
      </c>
      <c r="H1" s="1" t="s">
        <v>134</v>
      </c>
      <c r="I1" s="1" t="s">
        <v>135</v>
      </c>
      <c r="O1" s="1" t="s">
        <v>150</v>
      </c>
      <c r="P1" s="1" t="s">
        <v>135</v>
      </c>
    </row>
    <row r="2" spans="1:16" x14ac:dyDescent="0.35">
      <c r="A2" t="s">
        <v>0</v>
      </c>
      <c r="B2">
        <v>14</v>
      </c>
      <c r="C2">
        <f>VLOOKUP(Table5152427303336394247[[#This Row],[Score]],Modifier[],2,FALSE)</f>
        <v>2</v>
      </c>
      <c r="D2" t="s">
        <v>87</v>
      </c>
      <c r="E2">
        <f>IF(Table5152427303336394247[[#This Row],[Proficiency?]]="No",Table5152427303336394247[[#This Row],[Modifiers]],VLOOKUP($F$16,Proficiency[],2,FALSE)+Table5152427303336394247[[#This Row],[Modifiers]])</f>
        <v>2</v>
      </c>
      <c r="H2" t="s">
        <v>136</v>
      </c>
      <c r="I2" t="s">
        <v>177</v>
      </c>
      <c r="O2" t="s">
        <v>151</v>
      </c>
      <c r="P2" t="s">
        <v>182</v>
      </c>
    </row>
    <row r="3" spans="1:16" x14ac:dyDescent="0.35">
      <c r="A3" t="s">
        <v>1</v>
      </c>
      <c r="B3">
        <v>17</v>
      </c>
      <c r="C3">
        <f>VLOOKUP(Table5152427303336394247[[#This Row],[Score]],Modifier[],2,FALSE)</f>
        <v>3</v>
      </c>
      <c r="D3" t="s">
        <v>87</v>
      </c>
      <c r="E3">
        <f>IF(Table5152427303336394247[[#This Row],[Proficiency?]]="No",Table5152427303336394247[[#This Row],[Modifiers]],VLOOKUP($F$16,Proficiency[],2,FALSE)+Table5152427303336394247[[#This Row],[Modifiers]])</f>
        <v>3</v>
      </c>
      <c r="H3" t="s">
        <v>137</v>
      </c>
      <c r="I3" t="s">
        <v>184</v>
      </c>
      <c r="O3" t="s">
        <v>152</v>
      </c>
    </row>
    <row r="4" spans="1:16" x14ac:dyDescent="0.35">
      <c r="A4" t="s">
        <v>2</v>
      </c>
      <c r="B4">
        <v>18</v>
      </c>
      <c r="C4">
        <f>VLOOKUP(Table5152427303336394247[[#This Row],[Score]],Modifier[],2,FALSE)</f>
        <v>4</v>
      </c>
      <c r="D4" t="s">
        <v>86</v>
      </c>
      <c r="E4">
        <f>IF(Table5152427303336394247[[#This Row],[Proficiency?]]="No",Table5152427303336394247[[#This Row],[Modifiers]],VLOOKUP($F$16,Proficiency[],2,FALSE)+Table5152427303336394247[[#This Row],[Modifiers]])</f>
        <v>12</v>
      </c>
      <c r="H4" t="s">
        <v>138</v>
      </c>
      <c r="I4" t="s">
        <v>185</v>
      </c>
      <c r="O4" t="s">
        <v>153</v>
      </c>
    </row>
    <row r="5" spans="1:16" x14ac:dyDescent="0.35">
      <c r="A5" t="s">
        <v>3</v>
      </c>
      <c r="B5">
        <v>20</v>
      </c>
      <c r="C5">
        <f>VLOOKUP(Table5152427303336394247[[#This Row],[Score]],Modifier[],2,FALSE)</f>
        <v>5</v>
      </c>
      <c r="D5" t="s">
        <v>86</v>
      </c>
      <c r="E5">
        <f>IF(Table5152427303336394247[[#This Row],[Proficiency?]]="No",Table5152427303336394247[[#This Row],[Modifiers]],VLOOKUP($F$16,Proficiency[],2,FALSE)+Table5152427303336394247[[#This Row],[Modifiers]])</f>
        <v>13</v>
      </c>
      <c r="H5" t="s">
        <v>186</v>
      </c>
      <c r="O5" t="s">
        <v>154</v>
      </c>
    </row>
    <row r="6" spans="1:16" x14ac:dyDescent="0.35">
      <c r="A6" t="s">
        <v>4</v>
      </c>
      <c r="B6">
        <v>11</v>
      </c>
      <c r="C6">
        <f>VLOOKUP(Table5152427303336394247[[#This Row],[Score]],Modifier[],2,FALSE)</f>
        <v>0</v>
      </c>
      <c r="D6" t="s">
        <v>86</v>
      </c>
      <c r="E6">
        <f>IF(Table5152427303336394247[[#This Row],[Proficiency?]]="No",Table5152427303336394247[[#This Row],[Modifiers]],VLOOKUP($F$16,Proficiency[],2,FALSE)+Table5152427303336394247[[#This Row],[Modifiers]])</f>
        <v>8</v>
      </c>
      <c r="H6" t="s">
        <v>139</v>
      </c>
      <c r="I6" t="s">
        <v>187</v>
      </c>
      <c r="O6" t="s">
        <v>155</v>
      </c>
    </row>
    <row r="7" spans="1:16" x14ac:dyDescent="0.35">
      <c r="A7" t="s">
        <v>5</v>
      </c>
      <c r="B7">
        <v>14</v>
      </c>
      <c r="C7">
        <f>VLOOKUP(Table5152427303336394247[[#This Row],[Score]],Modifier[],2,FALSE)</f>
        <v>2</v>
      </c>
      <c r="D7" t="s">
        <v>87</v>
      </c>
      <c r="E7">
        <f>IF(Table5152427303336394247[[#This Row],[Proficiency?]]="No",Table5152427303336394247[[#This Row],[Modifiers]],VLOOKUP($F$16,Proficiency[],2,FALSE)+Table5152427303336394247[[#This Row],[Modifiers]])</f>
        <v>2</v>
      </c>
      <c r="H7" t="s">
        <v>140</v>
      </c>
      <c r="I7" t="s">
        <v>188</v>
      </c>
      <c r="O7" t="s">
        <v>154</v>
      </c>
    </row>
    <row r="8" spans="1:16" x14ac:dyDescent="0.35">
      <c r="H8" t="s">
        <v>141</v>
      </c>
      <c r="I8" t="s">
        <v>189</v>
      </c>
      <c r="O8" t="s">
        <v>156</v>
      </c>
    </row>
    <row r="9" spans="1:16" x14ac:dyDescent="0.35">
      <c r="H9" s="18"/>
      <c r="I9" t="s">
        <v>245</v>
      </c>
    </row>
    <row r="10" spans="1:16" x14ac:dyDescent="0.35">
      <c r="A10" t="s">
        <v>90</v>
      </c>
      <c r="B10" t="s">
        <v>91</v>
      </c>
      <c r="C10" t="s">
        <v>13</v>
      </c>
      <c r="E10" t="s">
        <v>116</v>
      </c>
      <c r="F10" s="9" t="s">
        <v>86</v>
      </c>
      <c r="O10" s="1" t="s">
        <v>157</v>
      </c>
      <c r="P10" s="1" t="s">
        <v>135</v>
      </c>
    </row>
    <row r="11" spans="1:16" x14ac:dyDescent="0.35">
      <c r="A11" t="s">
        <v>94</v>
      </c>
      <c r="B11" t="s">
        <v>84</v>
      </c>
      <c r="C11">
        <f>VLOOKUP(VLOOKUP(Table9162528313437404348[[#This Row],[Skills]],Table10[],2,FALSE),Table5[[Ability]:[Modifiers]],3,FALSE)+VLOOKUP(Table9162528313437404348[[#This Row],[Proficiency Level]],Table11[],3,FALSE)</f>
        <v>14</v>
      </c>
      <c r="E11" t="s">
        <v>117</v>
      </c>
      <c r="F11" s="9" t="s">
        <v>121</v>
      </c>
      <c r="H11" s="1" t="s">
        <v>142</v>
      </c>
      <c r="I11" s="1" t="s">
        <v>135</v>
      </c>
      <c r="O11" t="s">
        <v>158</v>
      </c>
    </row>
    <row r="12" spans="1:16" x14ac:dyDescent="0.35">
      <c r="A12" t="s">
        <v>95</v>
      </c>
      <c r="B12" t="s">
        <v>92</v>
      </c>
      <c r="C12">
        <f>VLOOKUP(VLOOKUP(Table9162528313437404348[[#This Row],[Skills]],Table10[],2,FALSE),Table5[[Ability]:[Modifiers]],3,FALSE)+VLOOKUP(Table9162528313437404348[[#This Row],[Proficiency Level]],Table11[],3,FALSE)</f>
        <v>0</v>
      </c>
      <c r="E12" t="s">
        <v>122</v>
      </c>
      <c r="F12" s="10">
        <f>IF(ISNUMBER(VLOOKUP(Rakshasa!F11,Table12[],3,FALSE))=FALSE,IF(VLOOKUP(Rakshasa!F11,Table12[],3,FALSE)="Yes",Rakshasa!$C$3,0),VLOOKUP(Rakshasa!F11,Table12[],3,FALSE))</f>
        <v>0</v>
      </c>
      <c r="H12" t="s">
        <v>143</v>
      </c>
      <c r="I12" t="s">
        <v>183</v>
      </c>
      <c r="O12" t="s">
        <v>159</v>
      </c>
    </row>
    <row r="13" spans="1:16" x14ac:dyDescent="0.35">
      <c r="A13" t="s">
        <v>96</v>
      </c>
      <c r="B13" t="s">
        <v>84</v>
      </c>
      <c r="C13">
        <f>VLOOKUP(VLOOKUP(Table9162528313437404348[[#This Row],[Skills]],Table10[],2,FALSE),Table5[[Ability]:[Modifiers]],3,FALSE)+VLOOKUP(Table9162528313437404348[[#This Row],[Proficiency Level]],Table11[],3,FALSE)</f>
        <v>14</v>
      </c>
      <c r="E13" t="s">
        <v>123</v>
      </c>
      <c r="F13" s="9">
        <v>1</v>
      </c>
      <c r="H13" t="s">
        <v>144</v>
      </c>
      <c r="I13" t="s">
        <v>190</v>
      </c>
      <c r="O13" t="s">
        <v>160</v>
      </c>
    </row>
    <row r="14" spans="1:16" x14ac:dyDescent="0.35">
      <c r="A14" t="s">
        <v>97</v>
      </c>
      <c r="B14" t="s">
        <v>92</v>
      </c>
      <c r="C14">
        <f>VLOOKUP(VLOOKUP(Table9162528313437404348[[#This Row],[Skills]],Table10[],2,FALSE),Table5[[Ability]:[Modifiers]],3,FALSE)+VLOOKUP(Table9162528313437404348[[#This Row],[Proficiency Level]],Table11[],3,FALSE)</f>
        <v>0</v>
      </c>
      <c r="H14" t="s">
        <v>145</v>
      </c>
      <c r="I14" t="s">
        <v>191</v>
      </c>
      <c r="O14" t="s">
        <v>161</v>
      </c>
    </row>
    <row r="15" spans="1:16" x14ac:dyDescent="0.35">
      <c r="A15" t="s">
        <v>98</v>
      </c>
      <c r="B15" t="s">
        <v>84</v>
      </c>
      <c r="C15">
        <f>VLOOKUP(VLOOKUP(Table9162528313437404348[[#This Row],[Skills]],Table10[],2,FALSE),Table5[[Ability]:[Modifiers]],3,FALSE)+VLOOKUP(Table9162528313437404348[[#This Row],[Proficiency Level]],Table11[],3,FALSE)</f>
        <v>11</v>
      </c>
      <c r="H15" t="s">
        <v>146</v>
      </c>
      <c r="I15" t="s">
        <v>192</v>
      </c>
      <c r="O15" t="s">
        <v>162</v>
      </c>
    </row>
    <row r="16" spans="1:16" x14ac:dyDescent="0.35">
      <c r="A16" t="s">
        <v>99</v>
      </c>
      <c r="B16" t="s">
        <v>92</v>
      </c>
      <c r="C16">
        <f>VLOOKUP(VLOOKUP(Table9162528313437404348[[#This Row],[Skills]],Table10[],2,FALSE),Table5[[Ability]:[Modifiers]],3,FALSE)+VLOOKUP(Table9162528313437404348[[#This Row],[Proficiency Level]],Table11[],3,FALSE)</f>
        <v>5</v>
      </c>
      <c r="E16" s="1" t="s">
        <v>88</v>
      </c>
      <c r="F16" s="9">
        <v>30</v>
      </c>
      <c r="H16" t="s">
        <v>147</v>
      </c>
      <c r="O16" t="s">
        <v>163</v>
      </c>
    </row>
    <row r="17" spans="1:16" x14ac:dyDescent="0.35">
      <c r="A17" t="s">
        <v>100</v>
      </c>
      <c r="B17" t="s">
        <v>84</v>
      </c>
      <c r="C17">
        <f>VLOOKUP(VLOOKUP(Table9162528313437404348[[#This Row],[Skills]],Table10[],2,FALSE),Table5[[Ability]:[Modifiers]],3,FALSE)+VLOOKUP(Table9162528313437404348[[#This Row],[Proficiency Level]],Table11[],3,FALSE)</f>
        <v>9</v>
      </c>
      <c r="E17" s="1" t="s">
        <v>115</v>
      </c>
      <c r="F17" s="10">
        <f>IF(Rakshasa!F10="Yes",VLOOKUP(F11,Table12[],2,FALSE)+Rakshasa!F12+2+F13,VLOOKUP(F11,Table12[],2,FALSE)+Rakshasa!F12+F13)+SUM(Table5586878990919495979899[Applied AC Bonus])</f>
        <v>21</v>
      </c>
      <c r="H17" t="s">
        <v>148</v>
      </c>
      <c r="O17" t="s">
        <v>164</v>
      </c>
    </row>
    <row r="18" spans="1:16" x14ac:dyDescent="0.35">
      <c r="A18" t="s">
        <v>101</v>
      </c>
      <c r="B18" t="s">
        <v>92</v>
      </c>
      <c r="C18">
        <f>VLOOKUP(VLOOKUP(Table9162528313437404348[[#This Row],[Skills]],Table10[],2,FALSE),Table5[[Ability]:[Modifiers]],3,FALSE)+VLOOKUP(Table9162528313437404348[[#This Row],[Proficiency Level]],Table11[],3,FALSE)</f>
        <v>2</v>
      </c>
      <c r="E18" s="1" t="s">
        <v>132</v>
      </c>
      <c r="F18" s="12">
        <f>SUM(Table13172629323538414449[[Average ]])</f>
        <v>340</v>
      </c>
      <c r="H18" t="s">
        <v>179</v>
      </c>
      <c r="O18" t="s">
        <v>165</v>
      </c>
      <c r="P18" t="s">
        <v>198</v>
      </c>
    </row>
    <row r="19" spans="1:16" x14ac:dyDescent="0.35">
      <c r="A19" t="s">
        <v>102</v>
      </c>
      <c r="B19" t="s">
        <v>92</v>
      </c>
      <c r="C19">
        <f>VLOOKUP(VLOOKUP(Table9162528313437404348[[#This Row],[Skills]],Table10[],2,FALSE),Table5[[Ability]:[Modifiers]],3,FALSE)+VLOOKUP(Table9162528313437404348[[#This Row],[Proficiency Level]],Table11[],3,FALSE)</f>
        <v>5</v>
      </c>
      <c r="E19" s="1" t="s">
        <v>178</v>
      </c>
      <c r="F19" s="10">
        <f>8+VLOOKUP("Intelligence",Table5152427303336394247[],3,FALSE)+VLOOKUP(F16,Proficiency[],2,FALSE)</f>
        <v>21</v>
      </c>
      <c r="H19" t="s">
        <v>180</v>
      </c>
      <c r="O19" t="s">
        <v>166</v>
      </c>
    </row>
    <row r="20" spans="1:16" x14ac:dyDescent="0.35">
      <c r="A20" t="s">
        <v>103</v>
      </c>
      <c r="B20" t="s">
        <v>92</v>
      </c>
      <c r="C20">
        <f>VLOOKUP(VLOOKUP(Table9162528313437404348[[#This Row],[Skills]],Table10[],2,FALSE),Table5[[Ability]:[Modifiers]],3,FALSE)+VLOOKUP(Table9162528313437404348[[#This Row],[Proficiency Level]],Table11[],3,FALSE)</f>
        <v>0</v>
      </c>
      <c r="H20" t="s">
        <v>181</v>
      </c>
      <c r="O20" s="18"/>
    </row>
    <row r="21" spans="1:16" x14ac:dyDescent="0.35">
      <c r="A21" t="s">
        <v>104</v>
      </c>
      <c r="B21" t="s">
        <v>92</v>
      </c>
      <c r="C21">
        <f>VLOOKUP(VLOOKUP(Table9162528313437404348[[#This Row],[Skills]],Table10[],2,FALSE),Table5[[Ability]:[Modifiers]],3,FALSE)+VLOOKUP(Table9162528313437404348[[#This Row],[Proficiency Level]],Table11[],3,FALSE)</f>
        <v>5</v>
      </c>
      <c r="E21" s="14" t="s">
        <v>209</v>
      </c>
      <c r="F21" s="10">
        <f>10+C22</f>
        <v>19</v>
      </c>
      <c r="H21" s="18"/>
    </row>
    <row r="22" spans="1:16" x14ac:dyDescent="0.35">
      <c r="A22" t="s">
        <v>105</v>
      </c>
      <c r="B22" t="s">
        <v>84</v>
      </c>
      <c r="C22">
        <f>VLOOKUP(VLOOKUP(Table9162528313437404348[[#This Row],[Skills]],Table10[],2,FALSE),Table5[[Ability]:[Modifiers]],3,FALSE)+VLOOKUP(Table9162528313437404348[[#This Row],[Proficiency Level]],Table11[],3,FALSE)</f>
        <v>9</v>
      </c>
      <c r="H22" s="18"/>
    </row>
    <row r="23" spans="1:16" x14ac:dyDescent="0.35">
      <c r="A23" t="s">
        <v>106</v>
      </c>
      <c r="B23" t="s">
        <v>92</v>
      </c>
      <c r="C23">
        <f>VLOOKUP(VLOOKUP(Table9162528313437404348[[#This Row],[Skills]],Table10[],2,FALSE),Table5[[Ability]:[Modifiers]],3,FALSE)+VLOOKUP(Table9162528313437404348[[#This Row],[Proficiency Level]],Table11[],3,FALSE)</f>
        <v>2</v>
      </c>
      <c r="H23" s="1" t="s">
        <v>199</v>
      </c>
    </row>
    <row r="24" spans="1:16" x14ac:dyDescent="0.35">
      <c r="A24" t="s">
        <v>107</v>
      </c>
      <c r="B24" t="s">
        <v>92</v>
      </c>
      <c r="C24">
        <f>VLOOKUP(VLOOKUP(Table9162528313437404348[[#This Row],[Skills]],Table10[],2,FALSE),Table5[[Ability]:[Modifiers]],3,FALSE)+VLOOKUP(Table9162528313437404348[[#This Row],[Proficiency Level]],Table11[],3,FALSE)</f>
        <v>2</v>
      </c>
      <c r="H24" s="18" t="s">
        <v>305</v>
      </c>
    </row>
    <row r="25" spans="1:16" x14ac:dyDescent="0.35">
      <c r="A25" t="s">
        <v>108</v>
      </c>
      <c r="B25" t="s">
        <v>92</v>
      </c>
      <c r="C25">
        <f>VLOOKUP(VLOOKUP(Table9162528313437404348[[#This Row],[Skills]],Table10[],2,FALSE),Table5[[Ability]:[Modifiers]],3,FALSE)+VLOOKUP(Table9162528313437404348[[#This Row],[Proficiency Level]],Table11[],3,FALSE)</f>
        <v>5</v>
      </c>
      <c r="H25" s="18" t="s">
        <v>263</v>
      </c>
    </row>
    <row r="26" spans="1:16" x14ac:dyDescent="0.35">
      <c r="A26" t="s">
        <v>109</v>
      </c>
      <c r="B26" t="s">
        <v>92</v>
      </c>
      <c r="C26">
        <f>VLOOKUP(VLOOKUP(Table9162528313437404348[[#This Row],[Skills]],Table10[],2,FALSE),Table5[[Ability]:[Modifiers]],3,FALSE)+VLOOKUP(Table9162528313437404348[[#This Row],[Proficiency Level]],Table11[],3,FALSE)</f>
        <v>5</v>
      </c>
      <c r="H26" s="18" t="s">
        <v>306</v>
      </c>
      <c r="I26" t="s">
        <v>307</v>
      </c>
    </row>
    <row r="27" spans="1:16" x14ac:dyDescent="0.35">
      <c r="A27" t="s">
        <v>110</v>
      </c>
      <c r="B27" t="s">
        <v>93</v>
      </c>
      <c r="C27">
        <f>VLOOKUP(VLOOKUP(Table9162528313437404348[[#This Row],[Skills]],Table10[],2,FALSE),Table5[[Ability]:[Modifiers]],3,FALSE)+VLOOKUP(Table9162528313437404348[[#This Row],[Proficiency Level]],Table11[],3,FALSE)</f>
        <v>23</v>
      </c>
    </row>
    <row r="28" spans="1:16" x14ac:dyDescent="0.35">
      <c r="A28" t="s">
        <v>111</v>
      </c>
      <c r="B28" t="s">
        <v>92</v>
      </c>
      <c r="C28">
        <f>VLOOKUP(VLOOKUP(Table9162528313437404348[[#This Row],[Skills]],Table10[],2,FALSE),Table5[[Ability]:[Modifiers]],3,FALSE)+VLOOKUP(Table9162528313437404348[[#This Row],[Proficiency Level]],Table11[],3,FALSE)</f>
        <v>0</v>
      </c>
      <c r="H28" s="18"/>
    </row>
    <row r="29" spans="1:16" x14ac:dyDescent="0.35">
      <c r="H29" t="s">
        <v>628</v>
      </c>
    </row>
    <row r="30" spans="1:16" x14ac:dyDescent="0.35">
      <c r="H30" s="1" t="s">
        <v>631</v>
      </c>
      <c r="I30" s="1" t="s">
        <v>498</v>
      </c>
      <c r="J30" s="1" t="s">
        <v>629</v>
      </c>
      <c r="K30" s="1" t="s">
        <v>634</v>
      </c>
    </row>
    <row r="31" spans="1:16" x14ac:dyDescent="0.35">
      <c r="A31" t="s">
        <v>124</v>
      </c>
      <c r="B31" t="s">
        <v>125</v>
      </c>
      <c r="C31" t="s">
        <v>130</v>
      </c>
      <c r="D31" t="s">
        <v>133</v>
      </c>
      <c r="H31" s="9" t="s">
        <v>87</v>
      </c>
      <c r="I31" t="s">
        <v>630</v>
      </c>
      <c r="J31">
        <v>2</v>
      </c>
      <c r="K31" t="str">
        <f>IF(Table5586878990919495979899[[#This Row],[Active]]="Yes",Table5586878990919495979899[[#This Row],[AC Bonus]],"")</f>
        <v/>
      </c>
    </row>
    <row r="32" spans="1:16" x14ac:dyDescent="0.35">
      <c r="A32" t="s">
        <v>126</v>
      </c>
      <c r="B32">
        <v>6</v>
      </c>
      <c r="C32">
        <v>20</v>
      </c>
      <c r="D32">
        <f>(((Table13172629323538414449[[#This Row],[Hit Dice]]/2)+0.5)+VLOOKUP("Constitution",Table5152427303336394247[[Ability]:[Modifiers]],3,FALSE))*Table13172629323538414449[[#This Row],[Levels]]</f>
        <v>150</v>
      </c>
      <c r="H32" s="9" t="s">
        <v>87</v>
      </c>
      <c r="I32" t="s">
        <v>632</v>
      </c>
      <c r="J32">
        <v>2</v>
      </c>
      <c r="K32" t="str">
        <f>IF(Table5586878990919495979899[[#This Row],[Active]]="Yes",Table5586878990919495979899[[#This Row],[AC Bonus]],"")</f>
        <v/>
      </c>
    </row>
    <row r="33" spans="1:11" x14ac:dyDescent="0.35">
      <c r="A33" t="s">
        <v>127</v>
      </c>
      <c r="B33">
        <v>10</v>
      </c>
      <c r="C33">
        <v>3</v>
      </c>
      <c r="D33" s="11">
        <f>(((Table13172629323538414449[[#This Row],[Hit Dice]]/2)+0.5)+VLOOKUP("Constitution",Table5152427303336394247[[Ability]:[Modifiers]],3,FALSE))*Table13172629323538414449[[#This Row],[Levels]]</f>
        <v>28.5</v>
      </c>
      <c r="H33" s="9" t="s">
        <v>87</v>
      </c>
      <c r="I33" t="s">
        <v>633</v>
      </c>
      <c r="J33">
        <v>1</v>
      </c>
      <c r="K33" t="str">
        <f>IF(Table5586878990919495979899[[#This Row],[Active]]="Yes",Table5586878990919495979899[[#This Row],[AC Bonus]],"")</f>
        <v/>
      </c>
    </row>
    <row r="34" spans="1:11" x14ac:dyDescent="0.35">
      <c r="A34" t="s">
        <v>128</v>
      </c>
      <c r="B34">
        <v>6</v>
      </c>
      <c r="C34">
        <v>3</v>
      </c>
      <c r="D34" s="11">
        <f>(((Table13172629323538414449[[#This Row],[Hit Dice]]/2)+0.5)+VLOOKUP("Constitution",Table5152427303336394247[[Ability]:[Modifiers]],3,FALSE))*Table13172629323538414449[[#This Row],[Levels]]</f>
        <v>22.5</v>
      </c>
      <c r="H34" s="9" t="s">
        <v>87</v>
      </c>
      <c r="I34" t="s">
        <v>44</v>
      </c>
      <c r="J34">
        <v>2</v>
      </c>
      <c r="K34" t="str">
        <f>IF(Table5586878990919495979899[[#This Row],[Active]]="Yes",Table5586878990919495979899[[#This Row],[AC Bonus]],"")</f>
        <v/>
      </c>
    </row>
    <row r="35" spans="1:11" x14ac:dyDescent="0.35">
      <c r="A35" t="s">
        <v>129</v>
      </c>
      <c r="B35">
        <v>10</v>
      </c>
      <c r="C35">
        <v>3</v>
      </c>
      <c r="D35" s="11">
        <f>(((Table13172629323538414449[[#This Row],[Hit Dice]]/2)+0.5)+VLOOKUP("Constitution",Table5152427303336394247[[Ability]:[Modifiers]],3,FALSE))*Table13172629323538414449[[#This Row],[Levels]]</f>
        <v>28.5</v>
      </c>
      <c r="H35" s="54" t="s">
        <v>87</v>
      </c>
      <c r="I35" s="38" t="s">
        <v>160</v>
      </c>
      <c r="J35" s="38">
        <v>5</v>
      </c>
      <c r="K35" s="55" t="str">
        <f>IF(Table5586878990919495979899[[#This Row],[Active]]="Yes",Table5586878990919495979899[[#This Row],[AC Bonus]],"")</f>
        <v/>
      </c>
    </row>
    <row r="36" spans="1:11" x14ac:dyDescent="0.35">
      <c r="A36" t="s">
        <v>63</v>
      </c>
      <c r="B36">
        <v>8</v>
      </c>
      <c r="C36">
        <v>13</v>
      </c>
      <c r="D36" s="11">
        <f>(((Table13172629323538414449[[#This Row],[Hit Dice]]/2)+0.5)+VLOOKUP("Constitution",Table5152427303336394247[[Ability]:[Modifiers]],3,FALSE))*Table13172629323538414449[[#This Row],[Levels]]</f>
        <v>110.5</v>
      </c>
      <c r="H36" s="54"/>
      <c r="I36" s="38" t="s">
        <v>658</v>
      </c>
      <c r="J36" s="38">
        <v>2</v>
      </c>
      <c r="K36" s="55" t="str">
        <f>IF(Table5586878990919495979899[[#This Row],[Active]]="Yes",Table5586878990919495979899[[#This Row],[AC Bonus]],"")</f>
        <v/>
      </c>
    </row>
    <row r="37" spans="1:11" x14ac:dyDescent="0.35">
      <c r="H37" s="54"/>
      <c r="I37" s="38" t="s">
        <v>659</v>
      </c>
      <c r="J37" s="38">
        <v>5</v>
      </c>
      <c r="K37" s="55" t="str">
        <f>IF(Table5586878990919495979899[[#This Row],[Active]]="Yes",Table5586878990919495979899[[#This Row],[AC Bonus]],"")</f>
        <v/>
      </c>
    </row>
    <row r="38" spans="1:11" x14ac:dyDescent="0.35">
      <c r="A38" s="13" t="s">
        <v>167</v>
      </c>
    </row>
    <row r="39" spans="1:11" x14ac:dyDescent="0.35">
      <c r="A39" s="1" t="s">
        <v>50</v>
      </c>
      <c r="B39" s="1" t="s">
        <v>171</v>
      </c>
    </row>
    <row r="40" spans="1:11" x14ac:dyDescent="0.35">
      <c r="A40">
        <v>1</v>
      </c>
      <c r="B40" t="s">
        <v>47</v>
      </c>
    </row>
    <row r="41" spans="1:11" x14ac:dyDescent="0.35">
      <c r="A41">
        <v>1</v>
      </c>
      <c r="B41" t="s">
        <v>170</v>
      </c>
    </row>
    <row r="42" spans="1:11" x14ac:dyDescent="0.35">
      <c r="A42">
        <v>2</v>
      </c>
      <c r="B42" t="s">
        <v>168</v>
      </c>
    </row>
    <row r="43" spans="1:11" x14ac:dyDescent="0.35">
      <c r="A43">
        <v>2</v>
      </c>
      <c r="B43" t="s">
        <v>169</v>
      </c>
    </row>
    <row r="45" spans="1:11" x14ac:dyDescent="0.35">
      <c r="A45" s="13" t="s">
        <v>172</v>
      </c>
    </row>
    <row r="46" spans="1:11" x14ac:dyDescent="0.35">
      <c r="A46" s="1" t="s">
        <v>50</v>
      </c>
      <c r="B46" s="1" t="s">
        <v>171</v>
      </c>
    </row>
    <row r="47" spans="1:11" x14ac:dyDescent="0.35">
      <c r="A47">
        <v>1</v>
      </c>
      <c r="B47" t="s">
        <v>173</v>
      </c>
    </row>
    <row r="48" spans="1:11" x14ac:dyDescent="0.35">
      <c r="A48">
        <v>1</v>
      </c>
      <c r="B48" t="s">
        <v>49</v>
      </c>
    </row>
    <row r="49" spans="1:2" x14ac:dyDescent="0.35">
      <c r="A49">
        <v>1</v>
      </c>
      <c r="B49" t="s">
        <v>174</v>
      </c>
    </row>
    <row r="50" spans="1:2" x14ac:dyDescent="0.35">
      <c r="A50">
        <v>1</v>
      </c>
      <c r="B50" t="s">
        <v>175</v>
      </c>
    </row>
    <row r="51" spans="1:2" x14ac:dyDescent="0.35">
      <c r="A51">
        <v>1</v>
      </c>
      <c r="B51" t="s">
        <v>47</v>
      </c>
    </row>
    <row r="52" spans="1:2" x14ac:dyDescent="0.35">
      <c r="A52">
        <v>1</v>
      </c>
      <c r="B52" t="s">
        <v>176</v>
      </c>
    </row>
    <row r="54" spans="1:2" x14ac:dyDescent="0.35">
      <c r="A54" s="13"/>
    </row>
    <row r="55" spans="1:2" x14ac:dyDescent="0.35">
      <c r="A55" s="1"/>
      <c r="B55" s="1"/>
    </row>
    <row r="60" spans="1:2" x14ac:dyDescent="0.35">
      <c r="A60" s="13"/>
    </row>
    <row r="61" spans="1:2" x14ac:dyDescent="0.35">
      <c r="A61" s="1"/>
      <c r="B61" s="1"/>
    </row>
  </sheetData>
  <pageMargins left="0.7" right="0.7" top="0.75" bottom="0.75" header="0.3" footer="0.3"/>
  <pageSetup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65D6BE16-C0F3-40ED-8716-B6EAB46FB6CD}">
          <x14:formula1>
            <xm:f>'Rules of the Game'!$D$4:$D$6</xm:f>
          </x14:formula1>
          <xm:sqref>B11:B28</xm:sqref>
        </x14:dataValidation>
        <x14:dataValidation type="list" allowBlank="1" showInputMessage="1" showErrorMessage="1" xr:uid="{5145EFEF-0E45-432E-814D-C6113F81705A}">
          <x14:formula1>
            <xm:f>'Rules of the Game'!$D$1:$D$2</xm:f>
          </x14:formula1>
          <xm:sqref>D2:D7 F10 H31:H37</xm:sqref>
        </x14:dataValidation>
        <x14:dataValidation type="list" allowBlank="1" showInputMessage="1" showErrorMessage="1" xr:uid="{AAD40B31-FBAB-4910-A96D-62DC3FA0ED54}">
          <x14:formula1>
            <xm:f>'Rules of the Game'!$D$42:$D$53</xm:f>
          </x14:formula1>
          <xm:sqref>F11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55491-1C05-40E6-9F87-06E7559EE38A}">
  <sheetPr codeName="Sheet15"/>
  <dimension ref="A1:J75"/>
  <sheetViews>
    <sheetView topLeftCell="A58" zoomScale="107" zoomScaleNormal="115" workbookViewId="0">
      <selection activeCell="A48" sqref="A48"/>
    </sheetView>
  </sheetViews>
  <sheetFormatPr defaultRowHeight="14.5" x14ac:dyDescent="0.35"/>
  <cols>
    <col min="1" max="1" width="26.1796875" bestFit="1" customWidth="1"/>
    <col min="2" max="2" width="53" customWidth="1"/>
    <col min="3" max="3" width="15.7265625" customWidth="1"/>
    <col min="4" max="4" width="18.26953125" bestFit="1" customWidth="1"/>
    <col min="5" max="5" width="18.453125" bestFit="1" customWidth="1"/>
    <col min="12" max="12" width="65.81640625" customWidth="1"/>
  </cols>
  <sheetData>
    <row r="1" spans="1:5" x14ac:dyDescent="0.35">
      <c r="A1" t="s">
        <v>8</v>
      </c>
      <c r="B1" t="s">
        <v>50</v>
      </c>
      <c r="C1" t="s">
        <v>51</v>
      </c>
      <c r="D1" t="s">
        <v>52</v>
      </c>
      <c r="E1" t="s">
        <v>75</v>
      </c>
    </row>
    <row r="2" spans="1:5" x14ac:dyDescent="0.35">
      <c r="A2" s="5" t="s">
        <v>9</v>
      </c>
      <c r="B2" s="2">
        <v>9</v>
      </c>
      <c r="C2" s="2">
        <v>9</v>
      </c>
      <c r="D2">
        <v>1</v>
      </c>
      <c r="E2">
        <f>Table1_2[[#This Row],[Number of Glyphs]]-1</f>
        <v>0</v>
      </c>
    </row>
    <row r="3" spans="1:5" x14ac:dyDescent="0.35">
      <c r="A3" s="5" t="s">
        <v>12</v>
      </c>
      <c r="B3" s="2">
        <v>9</v>
      </c>
      <c r="C3" s="2">
        <v>9</v>
      </c>
      <c r="D3">
        <v>1</v>
      </c>
      <c r="E3">
        <f>Table1_2[[#This Row],[Number of Glyphs]]-1</f>
        <v>0</v>
      </c>
    </row>
    <row r="4" spans="1:5" x14ac:dyDescent="0.35">
      <c r="A4" s="5" t="s">
        <v>20</v>
      </c>
      <c r="B4" s="2">
        <v>6</v>
      </c>
      <c r="C4" s="2">
        <v>9</v>
      </c>
      <c r="D4">
        <v>1</v>
      </c>
      <c r="E4">
        <f>Table1_2[[#This Row],[Number of Glyphs]]-1</f>
        <v>0</v>
      </c>
    </row>
    <row r="5" spans="1:5" x14ac:dyDescent="0.35">
      <c r="A5" s="5" t="s">
        <v>26</v>
      </c>
      <c r="B5" s="2">
        <v>5</v>
      </c>
      <c r="C5" s="2">
        <v>9</v>
      </c>
      <c r="D5">
        <v>1</v>
      </c>
      <c r="E5">
        <f>Table1_2[[#This Row],[Number of Glyphs]]-1</f>
        <v>0</v>
      </c>
    </row>
    <row r="6" spans="1:5" x14ac:dyDescent="0.35">
      <c r="A6" s="5" t="s">
        <v>39</v>
      </c>
      <c r="B6" s="2">
        <v>3</v>
      </c>
      <c r="C6" s="2">
        <v>9</v>
      </c>
      <c r="D6">
        <v>1</v>
      </c>
      <c r="E6">
        <f>Table1_2[[#This Row],[Number of Glyphs]]-1</f>
        <v>0</v>
      </c>
    </row>
    <row r="7" spans="1:5" x14ac:dyDescent="0.35">
      <c r="A7" s="7" t="s">
        <v>74</v>
      </c>
      <c r="B7" s="2">
        <v>5</v>
      </c>
      <c r="C7" s="2">
        <v>9</v>
      </c>
      <c r="D7">
        <v>1</v>
      </c>
      <c r="E7">
        <f>Table1_2[[#This Row],[Number of Glyphs]]-1</f>
        <v>0</v>
      </c>
    </row>
    <row r="8" spans="1:5" x14ac:dyDescent="0.35">
      <c r="A8" s="5" t="s">
        <v>31</v>
      </c>
      <c r="B8" s="2">
        <v>4</v>
      </c>
      <c r="C8" s="2">
        <v>8</v>
      </c>
      <c r="D8">
        <v>1</v>
      </c>
      <c r="E8">
        <f>Table1_2[[#This Row],[Number of Glyphs]]-1</f>
        <v>0</v>
      </c>
    </row>
    <row r="9" spans="1:5" x14ac:dyDescent="0.35">
      <c r="A9" s="5" t="s">
        <v>32</v>
      </c>
      <c r="B9" s="2">
        <v>4</v>
      </c>
      <c r="C9" s="2">
        <v>8</v>
      </c>
      <c r="D9">
        <v>1</v>
      </c>
      <c r="E9">
        <f>Table1_2[[#This Row],[Number of Glyphs]]-1</f>
        <v>0</v>
      </c>
    </row>
    <row r="10" spans="1:5" x14ac:dyDescent="0.35">
      <c r="A10" s="5" t="s">
        <v>37</v>
      </c>
      <c r="B10" s="2">
        <v>3</v>
      </c>
      <c r="C10" s="2">
        <v>8</v>
      </c>
      <c r="D10">
        <v>1</v>
      </c>
      <c r="E10">
        <f>Table1_2[[#This Row],[Number of Glyphs]]-1</f>
        <v>0</v>
      </c>
    </row>
    <row r="11" spans="1:5" x14ac:dyDescent="0.35">
      <c r="A11" s="5" t="s">
        <v>49</v>
      </c>
      <c r="B11" s="2">
        <v>1</v>
      </c>
      <c r="C11" s="2">
        <v>8</v>
      </c>
      <c r="D11">
        <v>1</v>
      </c>
      <c r="E11">
        <f>Table1_2[[#This Row],[Number of Glyphs]]-1</f>
        <v>0</v>
      </c>
    </row>
    <row r="12" spans="1:5" x14ac:dyDescent="0.35">
      <c r="A12" s="5" t="s">
        <v>14</v>
      </c>
      <c r="B12" s="2">
        <v>7</v>
      </c>
      <c r="C12" s="2">
        <v>7</v>
      </c>
      <c r="D12">
        <v>1</v>
      </c>
      <c r="E12">
        <f>Table1_2[[#This Row],[Number of Glyphs]]-1</f>
        <v>0</v>
      </c>
    </row>
    <row r="13" spans="1:5" x14ac:dyDescent="0.35">
      <c r="A13" s="5" t="s">
        <v>16</v>
      </c>
      <c r="B13" s="2">
        <v>7</v>
      </c>
      <c r="C13" s="2">
        <v>7</v>
      </c>
      <c r="D13">
        <v>1</v>
      </c>
      <c r="E13">
        <f>Table1_2[[#This Row],[Number of Glyphs]]-1</f>
        <v>0</v>
      </c>
    </row>
    <row r="14" spans="1:5" x14ac:dyDescent="0.35">
      <c r="A14" s="5" t="s">
        <v>17</v>
      </c>
      <c r="B14" s="2">
        <v>6</v>
      </c>
      <c r="C14" s="2">
        <v>6</v>
      </c>
      <c r="D14">
        <v>1</v>
      </c>
      <c r="E14">
        <f>Table1_2[[#This Row],[Number of Glyphs]]-1</f>
        <v>0</v>
      </c>
    </row>
    <row r="15" spans="1:5" x14ac:dyDescent="0.35">
      <c r="A15" s="5" t="s">
        <v>19</v>
      </c>
      <c r="B15" s="2">
        <v>6</v>
      </c>
      <c r="C15" s="2">
        <v>6</v>
      </c>
      <c r="D15">
        <v>1</v>
      </c>
      <c r="E15">
        <f>Table1_2[[#This Row],[Number of Glyphs]]-1</f>
        <v>0</v>
      </c>
    </row>
    <row r="16" spans="1:5" x14ac:dyDescent="0.35">
      <c r="A16" s="7" t="s">
        <v>21</v>
      </c>
      <c r="B16" s="2">
        <v>6</v>
      </c>
      <c r="C16" s="2">
        <v>6</v>
      </c>
      <c r="D16">
        <v>2</v>
      </c>
      <c r="E16">
        <v>0</v>
      </c>
    </row>
    <row r="17" spans="1:5" x14ac:dyDescent="0.35">
      <c r="A17" s="5" t="s">
        <v>34</v>
      </c>
      <c r="B17" s="2">
        <v>3</v>
      </c>
      <c r="C17" s="2">
        <v>6</v>
      </c>
      <c r="D17">
        <v>1</v>
      </c>
      <c r="E17">
        <f>Table1_2[[#This Row],[Number of Glyphs]]-1</f>
        <v>0</v>
      </c>
    </row>
    <row r="18" spans="1:5" x14ac:dyDescent="0.35">
      <c r="A18" s="7" t="s">
        <v>22</v>
      </c>
      <c r="B18" s="2">
        <v>5</v>
      </c>
      <c r="C18" s="2">
        <v>5</v>
      </c>
      <c r="D18">
        <v>2</v>
      </c>
      <c r="E18">
        <v>0</v>
      </c>
    </row>
    <row r="19" spans="1:5" x14ac:dyDescent="0.35">
      <c r="A19" s="5" t="s">
        <v>24</v>
      </c>
      <c r="B19" s="2">
        <v>5</v>
      </c>
      <c r="C19" s="2">
        <v>5</v>
      </c>
      <c r="D19">
        <v>1</v>
      </c>
      <c r="E19">
        <f>Table1_2[[#This Row],[Number of Glyphs]]-1</f>
        <v>0</v>
      </c>
    </row>
    <row r="20" spans="1:5" x14ac:dyDescent="0.35">
      <c r="A20" s="5" t="s">
        <v>25</v>
      </c>
      <c r="B20" s="2">
        <v>5</v>
      </c>
      <c r="C20" s="2">
        <v>5</v>
      </c>
      <c r="D20">
        <v>1</v>
      </c>
      <c r="E20">
        <f>Table1_2[[#This Row],[Number of Glyphs]]-1</f>
        <v>0</v>
      </c>
    </row>
    <row r="21" spans="1:5" x14ac:dyDescent="0.35">
      <c r="A21" s="5" t="s">
        <v>27</v>
      </c>
      <c r="B21" s="2">
        <v>4</v>
      </c>
      <c r="C21" s="2">
        <v>4</v>
      </c>
      <c r="D21">
        <v>1</v>
      </c>
      <c r="E21">
        <f>Table1_2[[#This Row],[Number of Glyphs]]-1</f>
        <v>0</v>
      </c>
    </row>
    <row r="22" spans="1:5" x14ac:dyDescent="0.35">
      <c r="A22" s="5" t="s">
        <v>29</v>
      </c>
      <c r="B22" s="2">
        <v>4</v>
      </c>
      <c r="C22" s="2">
        <v>4</v>
      </c>
      <c r="D22">
        <v>1</v>
      </c>
      <c r="E22">
        <f>Table1_2[[#This Row],[Number of Glyphs]]-1</f>
        <v>0</v>
      </c>
    </row>
    <row r="23" spans="1:5" x14ac:dyDescent="0.35">
      <c r="A23" s="7" t="s">
        <v>30</v>
      </c>
      <c r="B23" s="2">
        <v>4</v>
      </c>
      <c r="C23" s="2">
        <v>4</v>
      </c>
      <c r="D23">
        <v>4</v>
      </c>
      <c r="E23">
        <v>2</v>
      </c>
    </row>
    <row r="24" spans="1:5" x14ac:dyDescent="0.35">
      <c r="A24" s="5" t="s">
        <v>33</v>
      </c>
      <c r="B24" s="2">
        <v>4</v>
      </c>
      <c r="C24" s="2">
        <v>4</v>
      </c>
      <c r="D24">
        <v>1</v>
      </c>
      <c r="E24">
        <f>Table1_2[[#This Row],[Number of Glyphs]]-1</f>
        <v>0</v>
      </c>
    </row>
    <row r="25" spans="1:5" x14ac:dyDescent="0.35">
      <c r="A25" s="5" t="s">
        <v>36</v>
      </c>
      <c r="B25" s="2">
        <v>3</v>
      </c>
      <c r="C25" s="2">
        <v>3</v>
      </c>
      <c r="D25">
        <v>1</v>
      </c>
      <c r="E25">
        <f>Table1_2[[#This Row],[Number of Glyphs]]-1</f>
        <v>0</v>
      </c>
    </row>
    <row r="26" spans="1:5" x14ac:dyDescent="0.35">
      <c r="A26" s="5" t="s">
        <v>38</v>
      </c>
      <c r="B26" s="2">
        <v>3</v>
      </c>
      <c r="C26" s="2">
        <v>3</v>
      </c>
      <c r="D26">
        <v>1</v>
      </c>
      <c r="E26">
        <f>Table1_2[[#This Row],[Number of Glyphs]]-1</f>
        <v>0</v>
      </c>
    </row>
    <row r="27" spans="1:5" x14ac:dyDescent="0.35">
      <c r="A27" s="5" t="s">
        <v>34</v>
      </c>
      <c r="B27" s="2">
        <v>3</v>
      </c>
      <c r="C27" s="2">
        <v>3</v>
      </c>
      <c r="D27">
        <v>1</v>
      </c>
      <c r="E27">
        <v>1</v>
      </c>
    </row>
    <row r="28" spans="1:5" x14ac:dyDescent="0.35">
      <c r="A28" s="7" t="s">
        <v>40</v>
      </c>
      <c r="B28" s="2">
        <v>2</v>
      </c>
      <c r="C28" s="2">
        <v>2</v>
      </c>
      <c r="D28">
        <v>4</v>
      </c>
      <c r="E28">
        <f>Table1_2[[#This Row],[Number of Glyphs]]-1</f>
        <v>3</v>
      </c>
    </row>
    <row r="29" spans="1:5" x14ac:dyDescent="0.35">
      <c r="A29" s="7" t="s">
        <v>42</v>
      </c>
      <c r="B29" s="2">
        <v>2</v>
      </c>
      <c r="C29" s="2">
        <v>2</v>
      </c>
      <c r="D29">
        <v>4</v>
      </c>
      <c r="E29">
        <f>Table1_2[[#This Row],[Number of Glyphs]]-1</f>
        <v>3</v>
      </c>
    </row>
    <row r="30" spans="1:5" x14ac:dyDescent="0.35">
      <c r="A30" s="7" t="s">
        <v>43</v>
      </c>
      <c r="B30" s="2">
        <v>2</v>
      </c>
      <c r="C30" s="2">
        <v>2</v>
      </c>
      <c r="D30">
        <v>8</v>
      </c>
      <c r="E30">
        <f>Table1_2[[#This Row],[Number of Glyphs]]-1</f>
        <v>7</v>
      </c>
    </row>
    <row r="31" spans="1:5" x14ac:dyDescent="0.35">
      <c r="A31" s="7" t="s">
        <v>44</v>
      </c>
      <c r="B31" s="2">
        <v>1</v>
      </c>
      <c r="C31" s="2">
        <v>1</v>
      </c>
      <c r="D31">
        <v>8</v>
      </c>
      <c r="E31">
        <v>6</v>
      </c>
    </row>
    <row r="32" spans="1:5" x14ac:dyDescent="0.35">
      <c r="A32" s="7" t="s">
        <v>46</v>
      </c>
      <c r="B32" s="2">
        <v>1</v>
      </c>
      <c r="C32" s="2">
        <v>1</v>
      </c>
      <c r="D32">
        <v>4</v>
      </c>
      <c r="E32">
        <f>Table1_2[[#This Row],[Number of Glyphs]]-1</f>
        <v>3</v>
      </c>
    </row>
    <row r="33" spans="1:10" x14ac:dyDescent="0.35">
      <c r="A33" s="7" t="s">
        <v>47</v>
      </c>
      <c r="B33" s="2">
        <v>1</v>
      </c>
      <c r="C33" s="2">
        <v>1</v>
      </c>
      <c r="D33">
        <v>8</v>
      </c>
      <c r="E33">
        <f>Table1_2[[#This Row],[Number of Glyphs]]-1</f>
        <v>7</v>
      </c>
    </row>
    <row r="34" spans="1:10" x14ac:dyDescent="0.35">
      <c r="A34" s="7" t="s">
        <v>48</v>
      </c>
      <c r="B34" s="2">
        <v>1</v>
      </c>
      <c r="C34" s="2">
        <v>1</v>
      </c>
      <c r="D34">
        <v>8</v>
      </c>
      <c r="E34">
        <f>Table1_2[[#This Row],[Number of Glyphs]]-1</f>
        <v>7</v>
      </c>
    </row>
    <row r="36" spans="1:10" x14ac:dyDescent="0.35">
      <c r="A36" t="s">
        <v>53</v>
      </c>
      <c r="B36" t="s">
        <v>45</v>
      </c>
      <c r="C36" t="s">
        <v>65</v>
      </c>
      <c r="D36" t="s">
        <v>35</v>
      </c>
      <c r="E36" t="s">
        <v>28</v>
      </c>
      <c r="F36" t="s">
        <v>23</v>
      </c>
      <c r="G36" t="s">
        <v>18</v>
      </c>
      <c r="H36" t="s">
        <v>15</v>
      </c>
      <c r="I36" t="s">
        <v>66</v>
      </c>
      <c r="J36" t="s">
        <v>10</v>
      </c>
    </row>
    <row r="37" spans="1:10" x14ac:dyDescent="0.35">
      <c r="A37" t="s">
        <v>70</v>
      </c>
      <c r="B37">
        <f t="shared" ref="B37:J37" si="0">SUM(B25:B36)</f>
        <v>19</v>
      </c>
      <c r="C37">
        <f t="shared" si="0"/>
        <v>19</v>
      </c>
      <c r="D37">
        <f t="shared" si="0"/>
        <v>47</v>
      </c>
      <c r="E37">
        <f t="shared" si="0"/>
        <v>37</v>
      </c>
      <c r="F37">
        <f t="shared" si="0"/>
        <v>0</v>
      </c>
      <c r="G37">
        <f t="shared" si="0"/>
        <v>0</v>
      </c>
      <c r="H37">
        <f t="shared" si="0"/>
        <v>0</v>
      </c>
      <c r="I37">
        <f t="shared" si="0"/>
        <v>0</v>
      </c>
      <c r="J37">
        <f t="shared" si="0"/>
        <v>0</v>
      </c>
    </row>
    <row r="38" spans="1:10" x14ac:dyDescent="0.35">
      <c r="A38" t="s">
        <v>54</v>
      </c>
      <c r="B38">
        <f>$B$48+4</f>
        <v>4</v>
      </c>
      <c r="C38" s="6">
        <f t="shared" ref="C38:F39" si="1">C$48+3</f>
        <v>3</v>
      </c>
      <c r="D38" s="6">
        <f t="shared" si="1"/>
        <v>3</v>
      </c>
      <c r="E38" s="6">
        <f t="shared" si="1"/>
        <v>3</v>
      </c>
      <c r="F38">
        <f t="shared" si="1"/>
        <v>3</v>
      </c>
      <c r="G38">
        <f t="shared" ref="G38:J39" si="2">G$48+1</f>
        <v>1</v>
      </c>
      <c r="H38">
        <f t="shared" si="2"/>
        <v>1</v>
      </c>
      <c r="I38">
        <f t="shared" si="2"/>
        <v>1</v>
      </c>
      <c r="J38" s="6">
        <f t="shared" si="2"/>
        <v>1</v>
      </c>
    </row>
    <row r="39" spans="1:10" x14ac:dyDescent="0.35">
      <c r="A39" t="s">
        <v>60</v>
      </c>
      <c r="B39" s="6">
        <f>B$48+4</f>
        <v>4</v>
      </c>
      <c r="C39" s="8">
        <f t="shared" si="1"/>
        <v>3</v>
      </c>
      <c r="D39" s="6">
        <f t="shared" si="1"/>
        <v>3</v>
      </c>
      <c r="E39" s="6">
        <f t="shared" si="1"/>
        <v>3</v>
      </c>
      <c r="F39">
        <f t="shared" si="1"/>
        <v>3</v>
      </c>
      <c r="G39">
        <f t="shared" si="2"/>
        <v>1</v>
      </c>
      <c r="H39">
        <f t="shared" si="2"/>
        <v>1</v>
      </c>
      <c r="I39">
        <f t="shared" si="2"/>
        <v>1</v>
      </c>
      <c r="J39" s="6">
        <f t="shared" si="2"/>
        <v>1</v>
      </c>
    </row>
    <row r="40" spans="1:10" x14ac:dyDescent="0.35">
      <c r="A40" t="s">
        <v>64</v>
      </c>
      <c r="B40">
        <f>B$48+4</f>
        <v>4</v>
      </c>
      <c r="C40">
        <f>C$48+3</f>
        <v>3</v>
      </c>
      <c r="D40">
        <f>D$48+3</f>
        <v>3</v>
      </c>
      <c r="E40" s="6">
        <f>E$48+3</f>
        <v>3</v>
      </c>
      <c r="F40">
        <f>F$48+1</f>
        <v>1</v>
      </c>
      <c r="G40">
        <f t="shared" ref="G40:I47" si="3">G$48</f>
        <v>0</v>
      </c>
      <c r="H40">
        <f t="shared" si="3"/>
        <v>0</v>
      </c>
      <c r="I40">
        <f t="shared" si="3"/>
        <v>0</v>
      </c>
      <c r="J40" s="6">
        <v>1</v>
      </c>
    </row>
    <row r="41" spans="1:10" x14ac:dyDescent="0.35">
      <c r="A41" t="s">
        <v>55</v>
      </c>
      <c r="B41">
        <f>B$48</f>
        <v>0</v>
      </c>
      <c r="C41" s="6">
        <f>C$48</f>
        <v>0</v>
      </c>
      <c r="D41" s="6">
        <f>D$48</f>
        <v>0</v>
      </c>
      <c r="E41">
        <f>E$48</f>
        <v>0</v>
      </c>
      <c r="F41">
        <f>F$48</f>
        <v>0</v>
      </c>
      <c r="G41" s="6">
        <f t="shared" si="3"/>
        <v>0</v>
      </c>
      <c r="H41">
        <f t="shared" si="3"/>
        <v>0</v>
      </c>
      <c r="I41">
        <f t="shared" si="3"/>
        <v>0</v>
      </c>
      <c r="J41" s="6">
        <v>1</v>
      </c>
    </row>
    <row r="42" spans="1:10" x14ac:dyDescent="0.35">
      <c r="A42" t="s">
        <v>56</v>
      </c>
      <c r="B42">
        <f t="shared" ref="B42:E47" si="4">B$48</f>
        <v>0</v>
      </c>
      <c r="C42" s="6">
        <f t="shared" si="4"/>
        <v>0</v>
      </c>
      <c r="D42" s="6">
        <f t="shared" si="4"/>
        <v>0</v>
      </c>
      <c r="E42">
        <f t="shared" si="4"/>
        <v>0</v>
      </c>
      <c r="F42" s="6">
        <f>F$48+3</f>
        <v>3</v>
      </c>
      <c r="G42">
        <f t="shared" si="3"/>
        <v>0</v>
      </c>
      <c r="H42">
        <f t="shared" si="3"/>
        <v>0</v>
      </c>
      <c r="I42">
        <f t="shared" si="3"/>
        <v>0</v>
      </c>
      <c r="J42" s="6">
        <v>1</v>
      </c>
    </row>
    <row r="43" spans="1:10" x14ac:dyDescent="0.35">
      <c r="A43" t="s">
        <v>57</v>
      </c>
      <c r="B43" s="6">
        <f t="shared" si="4"/>
        <v>0</v>
      </c>
      <c r="C43" s="8">
        <f t="shared" si="4"/>
        <v>0</v>
      </c>
      <c r="D43" s="6">
        <f t="shared" si="4"/>
        <v>0</v>
      </c>
      <c r="E43">
        <f t="shared" si="4"/>
        <v>0</v>
      </c>
      <c r="F43" s="6">
        <f>F$48</f>
        <v>0</v>
      </c>
      <c r="G43">
        <f t="shared" si="3"/>
        <v>0</v>
      </c>
      <c r="H43">
        <f t="shared" si="3"/>
        <v>0</v>
      </c>
      <c r="I43">
        <f t="shared" si="3"/>
        <v>0</v>
      </c>
      <c r="J43" s="6">
        <v>1</v>
      </c>
    </row>
    <row r="44" spans="1:10" x14ac:dyDescent="0.35">
      <c r="A44" t="s">
        <v>58</v>
      </c>
      <c r="B44" s="6">
        <f t="shared" si="4"/>
        <v>0</v>
      </c>
      <c r="C44" s="8">
        <f t="shared" si="4"/>
        <v>0</v>
      </c>
      <c r="D44" s="6">
        <f t="shared" si="4"/>
        <v>0</v>
      </c>
      <c r="E44">
        <f t="shared" si="4"/>
        <v>0</v>
      </c>
      <c r="F44" s="6">
        <f>F$48</f>
        <v>0</v>
      </c>
      <c r="G44">
        <f t="shared" si="3"/>
        <v>0</v>
      </c>
      <c r="H44">
        <f t="shared" si="3"/>
        <v>0</v>
      </c>
      <c r="I44">
        <f t="shared" si="3"/>
        <v>0</v>
      </c>
      <c r="J44" s="6">
        <v>1</v>
      </c>
    </row>
    <row r="45" spans="1:10" x14ac:dyDescent="0.35">
      <c r="A45" t="s">
        <v>59</v>
      </c>
      <c r="B45" s="6">
        <f t="shared" si="4"/>
        <v>0</v>
      </c>
      <c r="C45" s="8">
        <f t="shared" si="4"/>
        <v>0</v>
      </c>
      <c r="D45" s="6">
        <f t="shared" si="4"/>
        <v>0</v>
      </c>
      <c r="E45">
        <f t="shared" si="4"/>
        <v>0</v>
      </c>
      <c r="F45">
        <f>F$48+3</f>
        <v>3</v>
      </c>
      <c r="G45">
        <f t="shared" si="3"/>
        <v>0</v>
      </c>
      <c r="H45">
        <f t="shared" si="3"/>
        <v>0</v>
      </c>
      <c r="I45">
        <f t="shared" si="3"/>
        <v>0</v>
      </c>
      <c r="J45" s="6">
        <v>1</v>
      </c>
    </row>
    <row r="46" spans="1:10" x14ac:dyDescent="0.35">
      <c r="A46" t="s">
        <v>61</v>
      </c>
      <c r="B46">
        <f t="shared" si="4"/>
        <v>0</v>
      </c>
      <c r="C46">
        <f t="shared" si="4"/>
        <v>0</v>
      </c>
      <c r="D46" s="6">
        <f t="shared" si="4"/>
        <v>0</v>
      </c>
      <c r="E46">
        <f t="shared" si="4"/>
        <v>0</v>
      </c>
      <c r="F46">
        <f>F$48</f>
        <v>0</v>
      </c>
      <c r="G46" s="6">
        <f t="shared" si="3"/>
        <v>0</v>
      </c>
      <c r="H46">
        <f t="shared" si="3"/>
        <v>0</v>
      </c>
      <c r="I46">
        <f t="shared" si="3"/>
        <v>0</v>
      </c>
      <c r="J46" s="6">
        <v>1</v>
      </c>
    </row>
    <row r="47" spans="1:10" x14ac:dyDescent="0.35">
      <c r="A47" t="s">
        <v>62</v>
      </c>
      <c r="B47">
        <f t="shared" si="4"/>
        <v>0</v>
      </c>
      <c r="C47">
        <f t="shared" si="4"/>
        <v>0</v>
      </c>
      <c r="D47">
        <f t="shared" si="4"/>
        <v>0</v>
      </c>
      <c r="E47">
        <f t="shared" si="4"/>
        <v>0</v>
      </c>
      <c r="F47" s="6">
        <f>F$48</f>
        <v>0</v>
      </c>
      <c r="G47">
        <f t="shared" si="3"/>
        <v>0</v>
      </c>
      <c r="H47">
        <f t="shared" si="3"/>
        <v>0</v>
      </c>
      <c r="I47">
        <f t="shared" si="3"/>
        <v>0</v>
      </c>
      <c r="J47" s="6">
        <v>1</v>
      </c>
    </row>
    <row r="48" spans="1:10" x14ac:dyDescent="0.35">
      <c r="A48" t="s">
        <v>63</v>
      </c>
      <c r="E48" s="6"/>
      <c r="J48" s="6"/>
    </row>
    <row r="49" spans="1:10" x14ac:dyDescent="0.35">
      <c r="A49" t="s">
        <v>67</v>
      </c>
      <c r="B49" s="6">
        <v>4</v>
      </c>
      <c r="C49">
        <v>3</v>
      </c>
      <c r="D49" s="6">
        <v>3</v>
      </c>
      <c r="E49">
        <v>3</v>
      </c>
      <c r="F49">
        <v>3</v>
      </c>
      <c r="G49">
        <v>2</v>
      </c>
      <c r="H49">
        <v>2</v>
      </c>
      <c r="I49">
        <v>1</v>
      </c>
      <c r="J49" s="6">
        <v>1</v>
      </c>
    </row>
    <row r="51" spans="1:10" x14ac:dyDescent="0.35">
      <c r="A51" t="s">
        <v>68</v>
      </c>
      <c r="B51" t="s">
        <v>69</v>
      </c>
      <c r="C51" t="s">
        <v>72</v>
      </c>
      <c r="D51" t="s">
        <v>78</v>
      </c>
    </row>
    <row r="52" spans="1:10" ht="101.5" x14ac:dyDescent="0.35">
      <c r="A52" s="4">
        <v>1</v>
      </c>
      <c r="B52" s="3" t="s">
        <v>71</v>
      </c>
      <c r="C52" s="3" t="s">
        <v>73</v>
      </c>
      <c r="D52" s="4">
        <v>24</v>
      </c>
    </row>
    <row r="53" spans="1:10" ht="101.5" x14ac:dyDescent="0.35">
      <c r="A53" s="4">
        <v>2</v>
      </c>
      <c r="B53" s="3" t="s">
        <v>77</v>
      </c>
      <c r="C53" s="3" t="s">
        <v>76</v>
      </c>
      <c r="D53" s="4">
        <f>24+11</f>
        <v>35</v>
      </c>
    </row>
    <row r="54" spans="1:10" x14ac:dyDescent="0.35">
      <c r="A54">
        <v>3</v>
      </c>
    </row>
    <row r="55" spans="1:10" x14ac:dyDescent="0.35">
      <c r="A55">
        <v>4</v>
      </c>
    </row>
    <row r="56" spans="1:10" x14ac:dyDescent="0.35">
      <c r="A56">
        <v>5</v>
      </c>
    </row>
    <row r="57" spans="1:10" x14ac:dyDescent="0.35">
      <c r="A57">
        <v>6</v>
      </c>
    </row>
    <row r="58" spans="1:10" x14ac:dyDescent="0.35">
      <c r="A58">
        <v>7</v>
      </c>
    </row>
    <row r="59" spans="1:10" x14ac:dyDescent="0.35">
      <c r="A59">
        <v>8</v>
      </c>
    </row>
    <row r="60" spans="1:10" x14ac:dyDescent="0.35">
      <c r="A60">
        <v>9</v>
      </c>
    </row>
    <row r="61" spans="1:10" x14ac:dyDescent="0.35">
      <c r="A61">
        <v>10</v>
      </c>
    </row>
    <row r="62" spans="1:10" x14ac:dyDescent="0.35">
      <c r="A62">
        <v>11</v>
      </c>
    </row>
    <row r="63" spans="1:10" x14ac:dyDescent="0.35">
      <c r="A63">
        <v>12</v>
      </c>
    </row>
    <row r="64" spans="1:10" x14ac:dyDescent="0.35">
      <c r="A64">
        <v>13</v>
      </c>
    </row>
    <row r="65" spans="1:1" x14ac:dyDescent="0.35">
      <c r="A65">
        <v>14</v>
      </c>
    </row>
    <row r="66" spans="1:1" x14ac:dyDescent="0.35">
      <c r="A66">
        <v>15</v>
      </c>
    </row>
    <row r="67" spans="1:1" x14ac:dyDescent="0.35">
      <c r="A67">
        <v>16</v>
      </c>
    </row>
    <row r="68" spans="1:1" x14ac:dyDescent="0.35">
      <c r="A68">
        <v>17</v>
      </c>
    </row>
    <row r="69" spans="1:1" x14ac:dyDescent="0.35">
      <c r="A69">
        <v>18</v>
      </c>
    </row>
    <row r="70" spans="1:1" x14ac:dyDescent="0.35">
      <c r="A70">
        <v>19</v>
      </c>
    </row>
    <row r="71" spans="1:1" x14ac:dyDescent="0.35">
      <c r="A71">
        <v>20</v>
      </c>
    </row>
    <row r="72" spans="1:1" x14ac:dyDescent="0.35">
      <c r="A72">
        <v>21</v>
      </c>
    </row>
    <row r="73" spans="1:1" x14ac:dyDescent="0.35">
      <c r="A73">
        <v>22</v>
      </c>
    </row>
    <row r="74" spans="1:1" x14ac:dyDescent="0.35">
      <c r="A74">
        <v>23</v>
      </c>
    </row>
    <row r="75" spans="1:1" x14ac:dyDescent="0.35">
      <c r="A75">
        <v>24</v>
      </c>
    </row>
  </sheetData>
  <phoneticPr fontId="5" type="noConversion"/>
  <pageMargins left="0.7" right="0.7" top="0.75" bottom="0.75" header="0.3" footer="0.3"/>
  <pageSetup orientation="portrait" r:id="rId1"/>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5827B27-F7DD-4BBF-BA07-4AEBACDC6BB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vt:i4>
      </vt:variant>
    </vt:vector>
  </HeadingPairs>
  <TitlesOfParts>
    <vt:vector size="23" baseType="lpstr">
      <vt:lpstr>Rules of the Game</vt:lpstr>
      <vt:lpstr>Dim Dashboard</vt:lpstr>
      <vt:lpstr>Facade Dashboard</vt:lpstr>
      <vt:lpstr>Dim</vt:lpstr>
      <vt:lpstr>Facade</vt:lpstr>
      <vt:lpstr>Ki-rin</vt:lpstr>
      <vt:lpstr>Archdruid</vt:lpstr>
      <vt:lpstr>Vampire Spectator</vt:lpstr>
      <vt:lpstr>Drow Arachnomancer</vt:lpstr>
      <vt:lpstr>Gloomweaver</vt:lpstr>
      <vt:lpstr>Conclave Dryad</vt:lpstr>
      <vt:lpstr>Neothelid</vt:lpstr>
      <vt:lpstr>Oni Nothic</vt:lpstr>
      <vt:lpstr>Ghost (CR 16)</vt:lpstr>
      <vt:lpstr>Gallows Speaker</vt:lpstr>
      <vt:lpstr>Rakshasa</vt:lpstr>
      <vt:lpstr>Glyph Creation</vt:lpstr>
      <vt:lpstr>Dim!Armor</vt:lpstr>
      <vt:lpstr>'Dim Dashboard'!Armor</vt:lpstr>
      <vt:lpstr>Armor</vt:lpstr>
      <vt:lpstr>Dim!Skill</vt:lpstr>
      <vt:lpstr>'Dim Dashboard'!Skill</vt:lpstr>
      <vt:lpstr>Skill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Max Hightower</dc:creator>
  <cp:lastModifiedBy>Max Hightower</cp:lastModifiedBy>
  <dcterms:created xsi:type="dcterms:W3CDTF">2022-06-11T03:35:02Z</dcterms:created>
  <dcterms:modified xsi:type="dcterms:W3CDTF">2022-11-23T19:41:44Z</dcterms:modified>
</cp:coreProperties>
</file>